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wee Yee\Downloads\"/>
    </mc:Choice>
  </mc:AlternateContent>
  <bookViews>
    <workbookView xWindow="0" yWindow="0" windowWidth="21600" windowHeight="11660" firstSheet="2" activeTab="3"/>
  </bookViews>
  <sheets>
    <sheet name="Scrap sheet" sheetId="1" state="hidden" r:id="rId1"/>
    <sheet name="Data sheet" sheetId="2" state="hidden" r:id="rId2"/>
    <sheet name="Cleaned data sheet" sheetId="3" r:id="rId3"/>
    <sheet name="Calculations" sheetId="4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4" l="1"/>
  <c r="K3" i="4"/>
  <c r="H4" i="4"/>
  <c r="H3" i="4"/>
  <c r="E4" i="4"/>
  <c r="E3" i="4"/>
  <c r="B13" i="4"/>
  <c r="B11" i="4"/>
  <c r="B10" i="4"/>
  <c r="B4" i="4"/>
  <c r="B5" i="4"/>
  <c r="I118" i="3" l="1"/>
  <c r="H118" i="3"/>
  <c r="G118" i="3"/>
  <c r="I117" i="3"/>
  <c r="H117" i="3"/>
  <c r="G117" i="3"/>
  <c r="I116" i="3"/>
  <c r="H116" i="3"/>
  <c r="G116" i="3"/>
  <c r="I115" i="3"/>
  <c r="H115" i="3"/>
  <c r="G115" i="3"/>
  <c r="I114" i="3"/>
  <c r="H114" i="3"/>
  <c r="G114" i="3"/>
  <c r="I113" i="3"/>
  <c r="H113" i="3"/>
  <c r="G113" i="3"/>
  <c r="I112" i="3"/>
  <c r="H112" i="3"/>
  <c r="G112" i="3"/>
  <c r="I111" i="3"/>
  <c r="H111" i="3"/>
  <c r="G111" i="3"/>
  <c r="I110" i="3"/>
  <c r="H110" i="3"/>
  <c r="G110" i="3"/>
  <c r="I109" i="3"/>
  <c r="H109" i="3"/>
  <c r="G109" i="3"/>
  <c r="I108" i="3"/>
  <c r="H108" i="3"/>
  <c r="G108" i="3"/>
  <c r="I107" i="3"/>
  <c r="H107" i="3"/>
  <c r="G107" i="3"/>
  <c r="I106" i="3"/>
  <c r="H106" i="3"/>
  <c r="G106" i="3"/>
  <c r="I105" i="3"/>
  <c r="H105" i="3"/>
  <c r="G105" i="3"/>
  <c r="I104" i="3"/>
  <c r="H104" i="3"/>
  <c r="G104" i="3"/>
  <c r="I103" i="3"/>
  <c r="H103" i="3"/>
  <c r="G103" i="3"/>
  <c r="I102" i="3"/>
  <c r="H102" i="3"/>
  <c r="G102" i="3"/>
  <c r="I101" i="3"/>
  <c r="H101" i="3"/>
  <c r="G101" i="3"/>
  <c r="I100" i="3"/>
  <c r="H100" i="3"/>
  <c r="G100" i="3"/>
  <c r="I99" i="3"/>
  <c r="H99" i="3"/>
  <c r="G99" i="3"/>
  <c r="I98" i="3"/>
  <c r="H98" i="3"/>
  <c r="G98" i="3"/>
  <c r="I97" i="3"/>
  <c r="H97" i="3"/>
  <c r="G97" i="3"/>
  <c r="I96" i="3"/>
  <c r="H96" i="3"/>
  <c r="G96" i="3"/>
  <c r="I95" i="3"/>
  <c r="H95" i="3"/>
  <c r="G95" i="3"/>
  <c r="I94" i="3"/>
  <c r="H94" i="3"/>
  <c r="G94" i="3"/>
  <c r="I93" i="3"/>
  <c r="H93" i="3"/>
  <c r="G93" i="3"/>
  <c r="I92" i="3"/>
  <c r="H92" i="3"/>
  <c r="G92" i="3"/>
  <c r="I91" i="3"/>
  <c r="H91" i="3"/>
  <c r="G91" i="3"/>
  <c r="I90" i="3"/>
  <c r="H90" i="3"/>
  <c r="G90" i="3"/>
  <c r="I89" i="3"/>
  <c r="H89" i="3"/>
  <c r="G89" i="3"/>
  <c r="I88" i="3"/>
  <c r="H88" i="3"/>
  <c r="G88" i="3"/>
  <c r="I87" i="3"/>
  <c r="H87" i="3"/>
  <c r="G87" i="3"/>
  <c r="I86" i="3"/>
  <c r="H86" i="3"/>
  <c r="G86" i="3"/>
  <c r="I85" i="3"/>
  <c r="H85" i="3"/>
  <c r="G85" i="3"/>
  <c r="I84" i="3"/>
  <c r="H84" i="3"/>
  <c r="G84" i="3"/>
  <c r="I83" i="3"/>
  <c r="H83" i="3"/>
  <c r="G83" i="3"/>
  <c r="I82" i="3"/>
  <c r="H82" i="3"/>
  <c r="G82" i="3"/>
  <c r="I81" i="3"/>
  <c r="H81" i="3"/>
  <c r="G81" i="3"/>
  <c r="I80" i="3"/>
  <c r="H80" i="3"/>
  <c r="G80" i="3"/>
  <c r="I79" i="3"/>
  <c r="H79" i="3"/>
  <c r="G79" i="3"/>
  <c r="I78" i="3"/>
  <c r="H78" i="3"/>
  <c r="G78" i="3"/>
  <c r="I77" i="3"/>
  <c r="H77" i="3"/>
  <c r="G77" i="3"/>
  <c r="I76" i="3"/>
  <c r="H76" i="3"/>
  <c r="G76" i="3"/>
  <c r="I75" i="3"/>
  <c r="H75" i="3"/>
  <c r="G75" i="3"/>
  <c r="I74" i="3"/>
  <c r="H74" i="3"/>
  <c r="G74" i="3"/>
  <c r="I73" i="3"/>
  <c r="H73" i="3"/>
  <c r="G73" i="3"/>
  <c r="I72" i="3"/>
  <c r="H72" i="3"/>
  <c r="G72" i="3"/>
  <c r="I71" i="3"/>
  <c r="H71" i="3"/>
  <c r="G71" i="3"/>
  <c r="I70" i="3"/>
  <c r="H70" i="3"/>
  <c r="G70" i="3"/>
  <c r="I69" i="3"/>
  <c r="H69" i="3"/>
  <c r="G69" i="3"/>
  <c r="I68" i="3"/>
  <c r="H68" i="3"/>
  <c r="G68" i="3"/>
  <c r="I67" i="3"/>
  <c r="H67" i="3"/>
  <c r="G67" i="3"/>
  <c r="I66" i="3"/>
  <c r="H66" i="3"/>
  <c r="G66" i="3"/>
  <c r="I65" i="3"/>
  <c r="H65" i="3"/>
  <c r="G65" i="3"/>
  <c r="I64" i="3"/>
  <c r="H64" i="3"/>
  <c r="G64" i="3"/>
  <c r="I63" i="3"/>
  <c r="H63" i="3"/>
  <c r="G63" i="3"/>
  <c r="I62" i="3"/>
  <c r="H62" i="3"/>
  <c r="G62" i="3"/>
  <c r="I61" i="3"/>
  <c r="H61" i="3"/>
  <c r="G61" i="3"/>
  <c r="I60" i="3"/>
  <c r="H60" i="3"/>
  <c r="G60" i="3"/>
  <c r="I59" i="3"/>
  <c r="H59" i="3"/>
  <c r="G59" i="3"/>
  <c r="I58" i="3"/>
  <c r="H58" i="3"/>
  <c r="G58" i="3"/>
  <c r="I57" i="3"/>
  <c r="H57" i="3"/>
  <c r="G57" i="3"/>
  <c r="I56" i="3"/>
  <c r="H56" i="3"/>
  <c r="G56" i="3"/>
  <c r="I55" i="3"/>
  <c r="H55" i="3"/>
  <c r="G55" i="3"/>
  <c r="I54" i="3"/>
  <c r="H54" i="3"/>
  <c r="G54" i="3"/>
  <c r="I53" i="3"/>
  <c r="H53" i="3"/>
  <c r="G53" i="3"/>
  <c r="I52" i="3"/>
  <c r="H52" i="3"/>
  <c r="G52" i="3"/>
  <c r="I51" i="3"/>
  <c r="H51" i="3"/>
  <c r="G51" i="3"/>
  <c r="I50" i="3"/>
  <c r="H50" i="3"/>
  <c r="G50" i="3"/>
  <c r="I49" i="3"/>
  <c r="H49" i="3"/>
  <c r="G49" i="3"/>
  <c r="I48" i="3"/>
  <c r="H48" i="3"/>
  <c r="G48" i="3"/>
  <c r="I47" i="3"/>
  <c r="H47" i="3"/>
  <c r="G47" i="3"/>
  <c r="I46" i="3"/>
  <c r="H46" i="3"/>
  <c r="G46" i="3"/>
  <c r="I45" i="3"/>
  <c r="H45" i="3"/>
  <c r="G45" i="3"/>
  <c r="I44" i="3"/>
  <c r="H44" i="3"/>
  <c r="G44" i="3"/>
  <c r="I43" i="3"/>
  <c r="H43" i="3"/>
  <c r="G43" i="3"/>
  <c r="I42" i="3"/>
  <c r="H42" i="3"/>
  <c r="G42" i="3"/>
  <c r="I41" i="3"/>
  <c r="H41" i="3"/>
  <c r="G41" i="3"/>
  <c r="I40" i="3"/>
  <c r="H40" i="3"/>
  <c r="G40" i="3"/>
  <c r="I39" i="3"/>
  <c r="H39" i="3"/>
  <c r="G39" i="3"/>
  <c r="I38" i="3"/>
  <c r="H38" i="3"/>
  <c r="G38" i="3"/>
  <c r="I37" i="3"/>
  <c r="H37" i="3"/>
  <c r="G37" i="3"/>
  <c r="I36" i="3"/>
  <c r="H36" i="3"/>
  <c r="G36" i="3"/>
  <c r="I35" i="3"/>
  <c r="H35" i="3"/>
  <c r="G35" i="3"/>
  <c r="I34" i="3"/>
  <c r="H34" i="3"/>
  <c r="G34" i="3"/>
  <c r="I33" i="3"/>
  <c r="H33" i="3"/>
  <c r="G33" i="3"/>
  <c r="I32" i="3"/>
  <c r="H32" i="3"/>
  <c r="G32" i="3"/>
  <c r="I31" i="3"/>
  <c r="H31" i="3"/>
  <c r="G31" i="3"/>
  <c r="I30" i="3"/>
  <c r="H30" i="3"/>
  <c r="G30" i="3"/>
  <c r="I29" i="3"/>
  <c r="H29" i="3"/>
  <c r="G29" i="3"/>
  <c r="I28" i="3"/>
  <c r="H28" i="3"/>
  <c r="G28" i="3"/>
  <c r="I27" i="3"/>
  <c r="H27" i="3"/>
  <c r="G27" i="3"/>
  <c r="I26" i="3"/>
  <c r="H26" i="3"/>
  <c r="G26" i="3"/>
  <c r="I25" i="3"/>
  <c r="H25" i="3"/>
  <c r="G25" i="3"/>
  <c r="I24" i="3"/>
  <c r="H24" i="3"/>
  <c r="G24" i="3"/>
  <c r="I23" i="3"/>
  <c r="H23" i="3"/>
  <c r="G23" i="3"/>
  <c r="I22" i="3"/>
  <c r="H22" i="3"/>
  <c r="G22" i="3"/>
  <c r="I21" i="3"/>
  <c r="H21" i="3"/>
  <c r="G21" i="3"/>
  <c r="I20" i="3"/>
  <c r="H20" i="3"/>
  <c r="G20" i="3"/>
  <c r="I19" i="3"/>
  <c r="H19" i="3"/>
  <c r="G19" i="3"/>
  <c r="I18" i="3"/>
  <c r="H18" i="3"/>
  <c r="G18" i="3"/>
  <c r="I17" i="3"/>
  <c r="H17" i="3"/>
  <c r="G17" i="3"/>
  <c r="I16" i="3"/>
  <c r="H16" i="3"/>
  <c r="G16" i="3"/>
  <c r="I15" i="3"/>
  <c r="H15" i="3"/>
  <c r="G15" i="3"/>
  <c r="I14" i="3"/>
  <c r="H14" i="3"/>
  <c r="G14" i="3"/>
  <c r="I13" i="3"/>
  <c r="H13" i="3"/>
  <c r="G13" i="3"/>
  <c r="I12" i="3"/>
  <c r="H12" i="3"/>
  <c r="G12" i="3"/>
  <c r="I11" i="3"/>
  <c r="H11" i="3"/>
  <c r="G11" i="3"/>
  <c r="I10" i="3"/>
  <c r="H10" i="3"/>
  <c r="G10" i="3"/>
  <c r="I9" i="3"/>
  <c r="H9" i="3"/>
  <c r="G9" i="3"/>
  <c r="I8" i="3"/>
  <c r="H8" i="3"/>
  <c r="G8" i="3"/>
  <c r="I7" i="3"/>
  <c r="H7" i="3"/>
  <c r="G7" i="3"/>
  <c r="I6" i="3"/>
  <c r="H6" i="3"/>
  <c r="G6" i="3"/>
  <c r="I5" i="3"/>
  <c r="H5" i="3"/>
  <c r="G5" i="3"/>
  <c r="I4" i="3"/>
  <c r="H4" i="3"/>
  <c r="G4" i="3"/>
  <c r="I3" i="3"/>
  <c r="H3" i="3"/>
  <c r="G3" i="3"/>
  <c r="I2" i="3"/>
  <c r="H2" i="3"/>
  <c r="I165" i="2" l="1"/>
  <c r="H165" i="2"/>
  <c r="I164" i="2"/>
  <c r="H164" i="2"/>
  <c r="I163" i="2"/>
  <c r="H163" i="2"/>
  <c r="I162" i="2"/>
  <c r="H162" i="2"/>
  <c r="I161" i="2"/>
  <c r="J161" i="2" s="1"/>
  <c r="H161" i="2"/>
  <c r="I160" i="2"/>
  <c r="H160" i="2"/>
  <c r="I159" i="2"/>
  <c r="J159" i="2" s="1"/>
  <c r="H159" i="2"/>
  <c r="I168" i="2"/>
  <c r="H168" i="2"/>
  <c r="I167" i="2"/>
  <c r="H167" i="2"/>
  <c r="I166" i="2"/>
  <c r="H166" i="2"/>
  <c r="I158" i="2"/>
  <c r="H158" i="2"/>
  <c r="I157" i="2"/>
  <c r="H157" i="2"/>
  <c r="I156" i="2"/>
  <c r="J156" i="2" s="1"/>
  <c r="H156" i="2"/>
  <c r="I155" i="2"/>
  <c r="H155" i="2"/>
  <c r="I154" i="2"/>
  <c r="J154" i="2" s="1"/>
  <c r="H154" i="2"/>
  <c r="I172" i="2"/>
  <c r="H172" i="2"/>
  <c r="I171" i="2"/>
  <c r="J171" i="2" s="1"/>
  <c r="H171" i="2"/>
  <c r="I170" i="2"/>
  <c r="H170" i="2"/>
  <c r="I169" i="2"/>
  <c r="H169" i="2"/>
  <c r="H145" i="2"/>
  <c r="I145" i="2"/>
  <c r="J145" i="2" s="1"/>
  <c r="H146" i="2"/>
  <c r="I146" i="2"/>
  <c r="H147" i="2"/>
  <c r="I147" i="2"/>
  <c r="J147" i="2" s="1"/>
  <c r="H148" i="2"/>
  <c r="I148" i="2"/>
  <c r="H149" i="2"/>
  <c r="I149" i="2"/>
  <c r="J149" i="2" s="1"/>
  <c r="H150" i="2"/>
  <c r="I150" i="2"/>
  <c r="H151" i="2"/>
  <c r="I151" i="2"/>
  <c r="J151" i="2" s="1"/>
  <c r="H152" i="2"/>
  <c r="I152" i="2"/>
  <c r="J152" i="2" s="1"/>
  <c r="H153" i="2"/>
  <c r="I153" i="2"/>
  <c r="J153" i="2" s="1"/>
  <c r="I134" i="2"/>
  <c r="H134" i="2"/>
  <c r="I133" i="2"/>
  <c r="J133" i="2" s="1"/>
  <c r="H133" i="2"/>
  <c r="I132" i="2"/>
  <c r="J132" i="2" s="1"/>
  <c r="H132" i="2"/>
  <c r="I131" i="2"/>
  <c r="J131" i="2" s="1"/>
  <c r="H131" i="2"/>
  <c r="I130" i="2"/>
  <c r="J130" i="2" s="1"/>
  <c r="H130" i="2"/>
  <c r="J129" i="2"/>
  <c r="I129" i="2"/>
  <c r="H129" i="2"/>
  <c r="I128" i="2"/>
  <c r="H128" i="2"/>
  <c r="I127" i="2"/>
  <c r="H127" i="2"/>
  <c r="I126" i="2"/>
  <c r="H126" i="2"/>
  <c r="J126" i="2" s="1"/>
  <c r="I125" i="2"/>
  <c r="J125" i="2" s="1"/>
  <c r="H125" i="2"/>
  <c r="I124" i="2"/>
  <c r="J124" i="2" s="1"/>
  <c r="H124" i="2"/>
  <c r="I123" i="2"/>
  <c r="J123" i="2" s="1"/>
  <c r="H123" i="2"/>
  <c r="I122" i="2"/>
  <c r="H122" i="2"/>
  <c r="I121" i="2"/>
  <c r="H121" i="2"/>
  <c r="J121" i="2" s="1"/>
  <c r="I120" i="2"/>
  <c r="H120" i="2"/>
  <c r="I119" i="2"/>
  <c r="H119" i="2"/>
  <c r="I118" i="2"/>
  <c r="H118" i="2"/>
  <c r="J118" i="2" s="1"/>
  <c r="I117" i="2"/>
  <c r="J117" i="2" s="1"/>
  <c r="H117" i="2"/>
  <c r="I116" i="2"/>
  <c r="J116" i="2" s="1"/>
  <c r="H116" i="2"/>
  <c r="I115" i="2"/>
  <c r="J115" i="2" s="1"/>
  <c r="H115" i="2"/>
  <c r="I114" i="2"/>
  <c r="J114" i="2" s="1"/>
  <c r="H114" i="2"/>
  <c r="J113" i="2"/>
  <c r="I113" i="2"/>
  <c r="H113" i="2"/>
  <c r="I112" i="2"/>
  <c r="H112" i="2"/>
  <c r="I111" i="2"/>
  <c r="H111" i="2"/>
  <c r="I138" i="2"/>
  <c r="H138" i="2"/>
  <c r="J138" i="2" s="1"/>
  <c r="I137" i="2"/>
  <c r="H137" i="2"/>
  <c r="I136" i="2"/>
  <c r="H136" i="2"/>
  <c r="J136" i="2" s="1"/>
  <c r="I135" i="2"/>
  <c r="H135" i="2"/>
  <c r="H139" i="2"/>
  <c r="I139" i="2"/>
  <c r="J139" i="2" s="1"/>
  <c r="H140" i="2"/>
  <c r="I140" i="2"/>
  <c r="H141" i="2"/>
  <c r="I141" i="2"/>
  <c r="J141" i="2" s="1"/>
  <c r="H142" i="2"/>
  <c r="I142" i="2"/>
  <c r="J142" i="2" s="1"/>
  <c r="H143" i="2"/>
  <c r="I143" i="2"/>
  <c r="H144" i="2"/>
  <c r="I144" i="2"/>
  <c r="J135" i="2"/>
  <c r="H46" i="2"/>
  <c r="I46" i="2"/>
  <c r="H47" i="2"/>
  <c r="I47" i="2"/>
  <c r="H48" i="2"/>
  <c r="I48" i="2"/>
  <c r="H49" i="2"/>
  <c r="I49" i="2"/>
  <c r="H50" i="2"/>
  <c r="I50" i="2"/>
  <c r="J50" i="2" s="1"/>
  <c r="H51" i="2"/>
  <c r="I51" i="2"/>
  <c r="H52" i="2"/>
  <c r="I52" i="2"/>
  <c r="J52" i="2" s="1"/>
  <c r="H53" i="2"/>
  <c r="I53" i="2"/>
  <c r="H54" i="2"/>
  <c r="I54" i="2"/>
  <c r="J54" i="2" s="1"/>
  <c r="H55" i="2"/>
  <c r="I55" i="2"/>
  <c r="H56" i="2"/>
  <c r="I56" i="2"/>
  <c r="J56" i="2" s="1"/>
  <c r="H57" i="2"/>
  <c r="I57" i="2"/>
  <c r="H58" i="2"/>
  <c r="I58" i="2"/>
  <c r="J58" i="2" s="1"/>
  <c r="H59" i="2"/>
  <c r="I59" i="2"/>
  <c r="H60" i="2"/>
  <c r="I60" i="2"/>
  <c r="J60" i="2" s="1"/>
  <c r="H61" i="2"/>
  <c r="I61" i="2"/>
  <c r="H62" i="2"/>
  <c r="I62" i="2"/>
  <c r="J62" i="2" s="1"/>
  <c r="H63" i="2"/>
  <c r="I63" i="2"/>
  <c r="H64" i="2"/>
  <c r="I64" i="2"/>
  <c r="J64" i="2" s="1"/>
  <c r="H65" i="2"/>
  <c r="I65" i="2"/>
  <c r="H66" i="2"/>
  <c r="I66" i="2"/>
  <c r="J66" i="2" s="1"/>
  <c r="H67" i="2"/>
  <c r="I67" i="2"/>
  <c r="H68" i="2"/>
  <c r="I68" i="2"/>
  <c r="J68" i="2" s="1"/>
  <c r="H69" i="2"/>
  <c r="I69" i="2"/>
  <c r="H70" i="2"/>
  <c r="I70" i="2"/>
  <c r="J70" i="2" s="1"/>
  <c r="H71" i="2"/>
  <c r="I71" i="2"/>
  <c r="H72" i="2"/>
  <c r="I72" i="2"/>
  <c r="J72" i="2" s="1"/>
  <c r="H73" i="2"/>
  <c r="I73" i="2"/>
  <c r="H74" i="2"/>
  <c r="I74" i="2"/>
  <c r="J74" i="2" s="1"/>
  <c r="H75" i="2"/>
  <c r="I75" i="2"/>
  <c r="H76" i="2"/>
  <c r="I76" i="2"/>
  <c r="J76" i="2" s="1"/>
  <c r="H77" i="2"/>
  <c r="I77" i="2"/>
  <c r="H78" i="2"/>
  <c r="I78" i="2"/>
  <c r="J78" i="2" s="1"/>
  <c r="H79" i="2"/>
  <c r="I79" i="2"/>
  <c r="H80" i="2"/>
  <c r="I80" i="2"/>
  <c r="J80" i="2" s="1"/>
  <c r="H81" i="2"/>
  <c r="I81" i="2"/>
  <c r="H82" i="2"/>
  <c r="I82" i="2"/>
  <c r="J82" i="2" s="1"/>
  <c r="H83" i="2"/>
  <c r="I83" i="2"/>
  <c r="H84" i="2"/>
  <c r="I84" i="2"/>
  <c r="J84" i="2" s="1"/>
  <c r="H85" i="2"/>
  <c r="I85" i="2"/>
  <c r="H86" i="2"/>
  <c r="I86" i="2"/>
  <c r="J86" i="2" s="1"/>
  <c r="H87" i="2"/>
  <c r="I87" i="2"/>
  <c r="H88" i="2"/>
  <c r="I88" i="2"/>
  <c r="J88" i="2" s="1"/>
  <c r="H89" i="2"/>
  <c r="I89" i="2"/>
  <c r="H90" i="2"/>
  <c r="I90" i="2"/>
  <c r="J90" i="2" s="1"/>
  <c r="H91" i="2"/>
  <c r="I91" i="2"/>
  <c r="H92" i="2"/>
  <c r="I92" i="2"/>
  <c r="J92" i="2" s="1"/>
  <c r="H93" i="2"/>
  <c r="I93" i="2"/>
  <c r="H94" i="2"/>
  <c r="I94" i="2"/>
  <c r="J94" i="2" s="1"/>
  <c r="H95" i="2"/>
  <c r="I95" i="2"/>
  <c r="H96" i="2"/>
  <c r="I96" i="2"/>
  <c r="J96" i="2" s="1"/>
  <c r="H97" i="2"/>
  <c r="I97" i="2"/>
  <c r="H98" i="2"/>
  <c r="I98" i="2"/>
  <c r="J98" i="2" s="1"/>
  <c r="H99" i="2"/>
  <c r="I99" i="2"/>
  <c r="H100" i="2"/>
  <c r="I100" i="2"/>
  <c r="J100" i="2" s="1"/>
  <c r="H101" i="2"/>
  <c r="I101" i="2"/>
  <c r="H102" i="2"/>
  <c r="I102" i="2"/>
  <c r="J102" i="2" s="1"/>
  <c r="H103" i="2"/>
  <c r="I103" i="2"/>
  <c r="H104" i="2"/>
  <c r="I104" i="2"/>
  <c r="J104" i="2" s="1"/>
  <c r="H105" i="2"/>
  <c r="I105" i="2"/>
  <c r="H106" i="2"/>
  <c r="I106" i="2"/>
  <c r="J106" i="2" s="1"/>
  <c r="H107" i="2"/>
  <c r="I107" i="2"/>
  <c r="H108" i="2"/>
  <c r="I108" i="2"/>
  <c r="J108" i="2" s="1"/>
  <c r="H109" i="2"/>
  <c r="I109" i="2"/>
  <c r="H110" i="2"/>
  <c r="I110" i="2"/>
  <c r="I45" i="2"/>
  <c r="H45" i="2"/>
  <c r="H44" i="2"/>
  <c r="J48" i="2" l="1"/>
  <c r="J46" i="2"/>
  <c r="J112" i="2"/>
  <c r="J119" i="2"/>
  <c r="J128" i="2"/>
  <c r="J168" i="2"/>
  <c r="J160" i="2"/>
  <c r="J162" i="2"/>
  <c r="J164" i="2"/>
  <c r="J148" i="2"/>
  <c r="J45" i="2"/>
  <c r="J109" i="2"/>
  <c r="J107" i="2"/>
  <c r="J105" i="2"/>
  <c r="J103" i="2"/>
  <c r="J101" i="2"/>
  <c r="J99" i="2"/>
  <c r="J97" i="2"/>
  <c r="J95" i="2"/>
  <c r="J93" i="2"/>
  <c r="J91" i="2"/>
  <c r="J89" i="2"/>
  <c r="J87" i="2"/>
  <c r="J85" i="2"/>
  <c r="J83" i="2"/>
  <c r="J81" i="2"/>
  <c r="J79" i="2"/>
  <c r="J77" i="2"/>
  <c r="J75" i="2"/>
  <c r="J73" i="2"/>
  <c r="J71" i="2"/>
  <c r="J69" i="2"/>
  <c r="J67" i="2"/>
  <c r="J65" i="2"/>
  <c r="J63" i="2"/>
  <c r="J61" i="2"/>
  <c r="J59" i="2"/>
  <c r="J57" i="2"/>
  <c r="J55" i="2"/>
  <c r="J53" i="2"/>
  <c r="J51" i="2"/>
  <c r="J49" i="2"/>
  <c r="J47" i="2"/>
  <c r="J111" i="2"/>
  <c r="J120" i="2"/>
  <c r="J122" i="2"/>
  <c r="J127" i="2"/>
  <c r="J134" i="2"/>
  <c r="J165" i="2"/>
  <c r="J169" i="2"/>
  <c r="J157" i="2"/>
  <c r="J163" i="2"/>
  <c r="J167" i="2"/>
  <c r="J158" i="2"/>
  <c r="J172" i="2"/>
  <c r="J155" i="2"/>
  <c r="J166" i="2"/>
  <c r="J170" i="2"/>
  <c r="J150" i="2"/>
  <c r="J146" i="2"/>
  <c r="J143" i="2"/>
  <c r="J137" i="2"/>
  <c r="J140" i="2"/>
  <c r="J144" i="2"/>
  <c r="J110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</calcChain>
</file>

<file path=xl/sharedStrings.xml><?xml version="1.0" encoding="utf-8"?>
<sst xmlns="http://schemas.openxmlformats.org/spreadsheetml/2006/main" count="331" uniqueCount="190">
  <si>
    <t>Arrival time</t>
  </si>
  <si>
    <t># Cust</t>
  </si>
  <si>
    <t>Start serve</t>
  </si>
  <si>
    <t>End serve</t>
  </si>
  <si>
    <t>&gt;Init</t>
  </si>
  <si>
    <t>Start</t>
  </si>
  <si>
    <t>S</t>
  </si>
  <si>
    <t>Arrival</t>
  </si>
  <si>
    <t>Start svc</t>
  </si>
  <si>
    <t>End svc</t>
  </si>
  <si>
    <t>Interarr</t>
  </si>
  <si>
    <t>Svc time</t>
  </si>
  <si>
    <t>Guy in shirt</t>
  </si>
  <si>
    <t>Came with guy above</t>
  </si>
  <si>
    <t>Old guy</t>
  </si>
  <si>
    <t>Lady</t>
  </si>
  <si>
    <t>Guy1</t>
  </si>
  <si>
    <t>Muslin lady</t>
  </si>
  <si>
    <t>Jcket guy</t>
  </si>
  <si>
    <t>orange guy</t>
  </si>
  <si>
    <t>Indian dud</t>
  </si>
  <si>
    <t>Girl blue top</t>
  </si>
  <si>
    <t>Girl black top</t>
  </si>
  <si>
    <t>Girl white top</t>
  </si>
  <si>
    <t>Olive green guy with bag</t>
  </si>
  <si>
    <t>Guy with bag polo tee</t>
  </si>
  <si>
    <t>&gt; Left already</t>
  </si>
  <si>
    <t>Indian dude</t>
  </si>
  <si>
    <t>Grey shirt</t>
  </si>
  <si>
    <t>Red chequered</t>
  </si>
  <si>
    <t>Purple</t>
  </si>
  <si>
    <t>White</t>
  </si>
  <si>
    <t>Blue polo lady</t>
  </si>
  <si>
    <t>Blue polo guy</t>
  </si>
  <si>
    <t>Tgt with above guy</t>
  </si>
  <si>
    <t>Red shirt guy</t>
  </si>
  <si>
    <t>White shirt Guy with tie</t>
  </si>
  <si>
    <t>With white shirt guy?</t>
  </si>
  <si>
    <t>With above lady</t>
  </si>
  <si>
    <t>Grey shirt guy</t>
  </si>
  <si>
    <t>Blue shirt guy</t>
  </si>
  <si>
    <t>Pink shirt</t>
  </si>
  <si>
    <t>Red shirt lady</t>
  </si>
  <si>
    <t>No one in the queue now!</t>
  </si>
  <si>
    <t>Singh guy</t>
  </si>
  <si>
    <t>Naby blu e shirt guy</t>
  </si>
  <si>
    <t>Red striped shirt guy</t>
  </si>
  <si>
    <t>Black striped shirt guy</t>
  </si>
  <si>
    <t>No order</t>
  </si>
  <si>
    <t>White chequered shirt guy</t>
  </si>
  <si>
    <t>Blac shirt guy</t>
  </si>
  <si>
    <t>Description of cust</t>
  </si>
  <si>
    <t>No one in the queue noe</t>
  </si>
  <si>
    <t>lady</t>
  </si>
  <si>
    <t>green</t>
  </si>
  <si>
    <t>checked</t>
  </si>
  <si>
    <t>white</t>
  </si>
  <si>
    <t>Order with above</t>
  </si>
  <si>
    <t>Cyan guy</t>
  </si>
  <si>
    <t>black polo white stripe</t>
  </si>
  <si>
    <t>blue shirt+pink skirt</t>
  </si>
  <si>
    <t>maroon blouse</t>
  </si>
  <si>
    <t>swee yee</t>
  </si>
  <si>
    <t>black polo couple</t>
  </si>
  <si>
    <t>blue polo</t>
  </si>
  <si>
    <t>redgreen checkers</t>
  </si>
  <si>
    <t>orange polo</t>
  </si>
  <si>
    <t>order with above</t>
  </si>
  <si>
    <t>beige woman</t>
  </si>
  <si>
    <t>yiran</t>
  </si>
  <si>
    <t>black blouse</t>
  </si>
  <si>
    <t>striped white blouse</t>
  </si>
  <si>
    <t>white blouse</t>
  </si>
  <si>
    <t>grey blouse, blue skirt</t>
  </si>
  <si>
    <t>black cardigan, blue skirt</t>
  </si>
  <si>
    <t>grey polo khaki pants guy</t>
  </si>
  <si>
    <t>leopard grtey blouse</t>
  </si>
  <si>
    <t>purple tshirt</t>
  </si>
  <si>
    <t>striped polo guy</t>
  </si>
  <si>
    <t>grey shirt guy</t>
  </si>
  <si>
    <t>black tshirt guy</t>
  </si>
  <si>
    <t>purple blouse</t>
  </si>
  <si>
    <t>pink shirt</t>
  </si>
  <si>
    <t>black shirt</t>
  </si>
  <si>
    <t>beige lady'</t>
  </si>
  <si>
    <t>red pouch</t>
  </si>
  <si>
    <t>black shirt lady</t>
  </si>
  <si>
    <t>black shirt guy (2)</t>
  </si>
  <si>
    <t>PURPLE SHIRT GUY</t>
  </si>
  <si>
    <t>white blouse woman</t>
  </si>
  <si>
    <t>blue dress</t>
  </si>
  <si>
    <t>pink blouse</t>
  </si>
  <si>
    <t>blue sleeveless woman</t>
  </si>
  <si>
    <t>grey polo uncle</t>
  </si>
  <si>
    <t>white top lady</t>
  </si>
  <si>
    <t>together with above</t>
  </si>
  <si>
    <t>brown top polo</t>
  </si>
  <si>
    <t>blue checkered guy</t>
  </si>
  <si>
    <t>black blouse woman</t>
  </si>
  <si>
    <t>blue shirt guy</t>
  </si>
  <si>
    <t>green shirt guy (younger)</t>
  </si>
  <si>
    <t>black shirt guy orange lanyard</t>
  </si>
  <si>
    <t>3 ladies. Green lanyard</t>
  </si>
  <si>
    <t>3 ppl. 1 guy n2 girls</t>
  </si>
  <si>
    <t>guy  white polo</t>
  </si>
  <si>
    <t>lady in white blazer</t>
  </si>
  <si>
    <t xml:space="preserve">lady in white shirt </t>
  </si>
  <si>
    <t>white polo guy with green collar with guy in blue shirt</t>
  </si>
  <si>
    <t>old uncle sunglasses</t>
  </si>
  <si>
    <t>grey cardg woman</t>
  </si>
  <si>
    <t>red lady + grey polo guy</t>
  </si>
  <si>
    <t>SP woman + 2 other women</t>
  </si>
  <si>
    <t>black stripe+2black tops</t>
  </si>
  <si>
    <t>maroon top pink top</t>
  </si>
  <si>
    <t>orange tee guy beard</t>
  </si>
  <si>
    <t>brown white checkered tableclothgirl</t>
  </si>
  <si>
    <t>1 guy black polo red number 3</t>
  </si>
  <si>
    <t>black top girl</t>
  </si>
  <si>
    <t>2 guys blue checks blue stripe polo</t>
  </si>
  <si>
    <t>guy in black tiger striped shirt</t>
  </si>
  <si>
    <t>group of 4 3 girls 1 guy</t>
  </si>
  <si>
    <t>guy pink shirt indian</t>
  </si>
  <si>
    <t>2 ppl red stripe white top</t>
  </si>
  <si>
    <t>2 guys in blue and white top, 1 girl j grey cardg</t>
  </si>
  <si>
    <t>green black army top, pink top girls</t>
  </si>
  <si>
    <t>1 girl black dress, 1 guy white top big angmoh</t>
  </si>
  <si>
    <t>2 guys white polo pink shirt</t>
  </si>
  <si>
    <t>grp of 2 green dress black dress</t>
  </si>
  <si>
    <t>one girl in black dress</t>
  </si>
  <si>
    <t>green shirt guy indian backpack</t>
  </si>
  <si>
    <t>old lady green black polka dot dress sunglassses on head</t>
  </si>
  <si>
    <t>girl black top blue jeans holding bread</t>
  </si>
  <si>
    <t>indian guy purple striped shirt</t>
  </si>
  <si>
    <t>guy white polo num 3</t>
  </si>
  <si>
    <t>old lady pink tshirt white hair</t>
  </si>
  <si>
    <t>black striped white top lady + black blouse blond lady</t>
  </si>
  <si>
    <t>girl short hair dark blue top nike</t>
  </si>
  <si>
    <t>pink tee guy + blue blouse woman</t>
  </si>
  <si>
    <t>indian lady white shirt  red purse+ guy blue lanyard</t>
  </si>
  <si>
    <t>old lady light blue top brown pants</t>
  </si>
  <si>
    <t xml:space="preserve"> (big)pink polo lady</t>
  </si>
  <si>
    <t>guy black polo uncle</t>
  </si>
  <si>
    <t>indian guy white shirt and girl white dress colourful sleeves</t>
  </si>
  <si>
    <t>guy orange polo</t>
  </si>
  <si>
    <t>2 guy black polo bluewhite shirt1 girl pink blue check shirt</t>
  </si>
  <si>
    <t>2 indian lady black top indian guy shirt</t>
  </si>
  <si>
    <t>indian guy black polo red lines</t>
  </si>
  <si>
    <t>chinese guy black tee khaki pants</t>
  </si>
  <si>
    <t>4 women 2 white blouse</t>
  </si>
  <si>
    <t>lady maroon blouse</t>
  </si>
  <si>
    <t>woman striped black grey blouse carrying food</t>
  </si>
  <si>
    <t>guy blue shirt and jeans</t>
  </si>
  <si>
    <t>2 chi guys cyan polo, checkered shirt</t>
  </si>
  <si>
    <t>chi uncle brown shirt</t>
  </si>
  <si>
    <t xml:space="preserve">chi uncle violet shirt </t>
  </si>
  <si>
    <t>lady black stripes white top blue shorts</t>
  </si>
  <si>
    <t>3 guys red striped polo, grey tee botak, grey shirt</t>
  </si>
  <si>
    <t>tall guy blue patches shirt, khaki shorts</t>
  </si>
  <si>
    <t>2 ladies white sleeveless blouse, black blouse</t>
  </si>
  <si>
    <t>uncle black grey stripes</t>
  </si>
  <si>
    <t>man black white thin striped polo</t>
  </si>
  <si>
    <t>big white shirt ang moh</t>
  </si>
  <si>
    <t>2 ladies white shirt blue blouse</t>
  </si>
  <si>
    <t>lady pink blouse big + 1 other women</t>
  </si>
  <si>
    <t>woman blue orange dress, tall guy brown shirt</t>
  </si>
  <si>
    <t>uncle white polo</t>
  </si>
  <si>
    <t>guy blue tee, khaki pants</t>
  </si>
  <si>
    <t>2 girls 1 guy, guy black long sleeve blue jeans</t>
  </si>
  <si>
    <t>Arrived</t>
  </si>
  <si>
    <t>Description of customer</t>
  </si>
  <si>
    <t>Interarrival</t>
  </si>
  <si>
    <t>Waiting time</t>
  </si>
  <si>
    <t>Remarks</t>
  </si>
  <si>
    <t>Arrival Time (min)</t>
  </si>
  <si>
    <t>Mean</t>
  </si>
  <si>
    <t>M/M/1 Model</t>
  </si>
  <si>
    <t>M/G/1 Model</t>
  </si>
  <si>
    <t>G/G/1 Model</t>
  </si>
  <si>
    <t>S.D.</t>
  </si>
  <si>
    <t>L</t>
  </si>
  <si>
    <t>L (approx.)</t>
  </si>
  <si>
    <t>SCOV</t>
  </si>
  <si>
    <t>W</t>
  </si>
  <si>
    <t>W (approx.)</t>
  </si>
  <si>
    <t>Service Time (min)</t>
  </si>
  <si>
    <r>
      <t xml:space="preserve">Mean arrival rate, </t>
    </r>
    <r>
      <rPr>
        <sz val="10"/>
        <color theme="1"/>
        <rFont val="Calibri"/>
        <family val="2"/>
      </rPr>
      <t>λ</t>
    </r>
    <r>
      <rPr>
        <sz val="10"/>
        <color theme="1"/>
        <rFont val="Arial"/>
        <family val="2"/>
      </rPr>
      <t xml:space="preserve"> (per min)</t>
    </r>
  </si>
  <si>
    <t>Mean service rate, μ (per min)</t>
  </si>
  <si>
    <t>Intensity (λ / μ)</t>
  </si>
  <si>
    <t>L = λ / (μ-λ)</t>
  </si>
  <si>
    <t>W = 1 / (μ-λ)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</si>
</sst>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28"/>
      <color rgb="FF000000"/>
      <name val="Calibri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2" fontId="0" fillId="0" borderId="0" xfId="0" applyNumberFormat="1"/>
    <xf numFmtId="0" fontId="0" fillId="2" borderId="0" xfId="0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22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2</xdr:row>
          <xdr:rowOff>0</xdr:rowOff>
        </xdr:from>
        <xdr:to>
          <xdr:col>9</xdr:col>
          <xdr:colOff>603250</xdr:colOff>
          <xdr:row>7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en-SG" sz="2800" b="0" i="0" u="none" strike="noStrike" baseline="0">
                  <a:solidFill>
                    <a:srgbClr val="000000"/>
                  </a:solidFill>
                  <a:latin typeface="Calibri"/>
                </a:rPr>
                <a:t>Process arrivals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17</xdr:col>
          <xdr:colOff>0</xdr:colOff>
          <xdr:row>7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en-SG" sz="2800" b="0" i="0" u="none" strike="noStrike" baseline="0">
                  <a:solidFill>
                    <a:srgbClr val="000000"/>
                  </a:solidFill>
                  <a:latin typeface="Calibri"/>
                </a:rPr>
                <a:t>Process departure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A7" sqref="A7:A8"/>
    </sheetView>
  </sheetViews>
  <sheetFormatPr defaultRowHeight="14.5" x14ac:dyDescent="0.35"/>
  <cols>
    <col min="1" max="1" width="14.54296875" bestFit="1" customWidth="1"/>
    <col min="5" max="5" width="10.453125" bestFit="1" customWidth="1"/>
  </cols>
  <sheetData>
    <row r="1" spans="1:8" x14ac:dyDescent="0.35">
      <c r="A1" s="1">
        <v>42439.765833333331</v>
      </c>
    </row>
    <row r="2" spans="1:8" x14ac:dyDescent="0.35">
      <c r="A2" s="1">
        <v>42439.765983796293</v>
      </c>
    </row>
    <row r="7" spans="1:8" x14ac:dyDescent="0.35">
      <c r="E7" t="s">
        <v>0</v>
      </c>
      <c r="F7" t="s">
        <v>1</v>
      </c>
      <c r="G7" t="s">
        <v>2</v>
      </c>
      <c r="H7" t="s">
        <v>3</v>
      </c>
    </row>
    <row r="8" spans="1:8" x14ac:dyDescent="0.35">
      <c r="D8" t="s">
        <v>4</v>
      </c>
      <c r="E8" t="s">
        <v>5</v>
      </c>
      <c r="F8">
        <v>0</v>
      </c>
      <c r="G8" t="s">
        <v>6</v>
      </c>
      <c r="H8" t="s">
        <v>6</v>
      </c>
    </row>
    <row r="9" spans="1:8" x14ac:dyDescent="0.35">
      <c r="E9">
        <v>1</v>
      </c>
      <c r="F9">
        <v>0</v>
      </c>
      <c r="G9">
        <v>1</v>
      </c>
      <c r="H9">
        <v>1.5</v>
      </c>
    </row>
    <row r="10" spans="1:8" x14ac:dyDescent="0.35">
      <c r="E10">
        <v>1</v>
      </c>
      <c r="F10">
        <v>1</v>
      </c>
      <c r="G10">
        <v>1</v>
      </c>
      <c r="H10">
        <v>3</v>
      </c>
    </row>
    <row r="11" spans="1:8" x14ac:dyDescent="0.35">
      <c r="E11">
        <v>2</v>
      </c>
      <c r="F11">
        <v>1</v>
      </c>
      <c r="G11">
        <v>3</v>
      </c>
      <c r="H11">
        <v>4.5</v>
      </c>
    </row>
    <row r="12" spans="1:8" x14ac:dyDescent="0.35">
      <c r="E12">
        <v>3.5</v>
      </c>
      <c r="F12">
        <v>1</v>
      </c>
      <c r="G12">
        <v>4.5</v>
      </c>
      <c r="H12">
        <v>5</v>
      </c>
    </row>
    <row r="13" spans="1:8" x14ac:dyDescent="0.35">
      <c r="E13">
        <v>4</v>
      </c>
      <c r="F13">
        <v>0</v>
      </c>
      <c r="G13">
        <v>5</v>
      </c>
      <c r="H13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79"/>
  <sheetViews>
    <sheetView topLeftCell="A136" zoomScale="109" zoomScaleNormal="110" workbookViewId="0">
      <selection activeCell="E43" sqref="E43:E165"/>
    </sheetView>
  </sheetViews>
  <sheetFormatPr defaultRowHeight="14.5" x14ac:dyDescent="0.35"/>
  <cols>
    <col min="1" max="3" width="14.6328125" bestFit="1" customWidth="1"/>
    <col min="4" max="4" width="21.36328125" bestFit="1" customWidth="1"/>
    <col min="8" max="8" width="12.6328125" bestFit="1" customWidth="1"/>
    <col min="9" max="9" width="11.6328125" bestFit="1" customWidth="1"/>
    <col min="10" max="10" width="12.6328125" bestFit="1" customWidth="1"/>
    <col min="14" max="14" width="6.453125" customWidth="1"/>
  </cols>
  <sheetData>
    <row r="1" spans="1:23" x14ac:dyDescent="0.35">
      <c r="A1" t="s">
        <v>7</v>
      </c>
      <c r="B1" t="s">
        <v>8</v>
      </c>
      <c r="C1" t="s">
        <v>9</v>
      </c>
      <c r="D1" t="s">
        <v>51</v>
      </c>
      <c r="V1" t="s">
        <v>10</v>
      </c>
      <c r="W1" t="s">
        <v>11</v>
      </c>
    </row>
    <row r="2" spans="1:23" x14ac:dyDescent="0.35">
      <c r="A2" s="1">
        <v>42439.954895833333</v>
      </c>
      <c r="B2" s="1">
        <v>42439.954895833333</v>
      </c>
      <c r="C2" s="1">
        <v>42439.954918981479</v>
      </c>
      <c r="F2" s="3"/>
      <c r="G2" s="3"/>
      <c r="H2" s="3"/>
      <c r="I2" s="3"/>
      <c r="J2" s="3"/>
      <c r="K2" s="3"/>
      <c r="M2" s="2"/>
      <c r="N2" s="2"/>
      <c r="O2" s="2"/>
      <c r="P2" s="2"/>
      <c r="Q2" s="2"/>
      <c r="R2" s="2"/>
      <c r="V2">
        <v>0</v>
      </c>
    </row>
    <row r="3" spans="1:23" x14ac:dyDescent="0.35">
      <c r="A3" s="1">
        <v>42439.954907407409</v>
      </c>
      <c r="B3" s="1">
        <v>42439.954918981479</v>
      </c>
      <c r="C3" s="1">
        <v>42439.954953703702</v>
      </c>
      <c r="F3" s="3"/>
      <c r="G3" s="3"/>
      <c r="H3" s="3"/>
      <c r="I3" s="3"/>
      <c r="J3" s="3"/>
      <c r="K3" s="3"/>
      <c r="M3" s="2"/>
      <c r="N3" s="2"/>
      <c r="O3" s="2"/>
      <c r="P3" s="2"/>
      <c r="Q3" s="2"/>
      <c r="R3" s="2"/>
      <c r="V3">
        <f t="shared" ref="V3:V27" si="0">24*60*(A3-A2)</f>
        <v>1.6666670562699437E-2</v>
      </c>
    </row>
    <row r="4" spans="1:23" x14ac:dyDescent="0.35">
      <c r="A4" s="1">
        <v>42439.954930555556</v>
      </c>
      <c r="B4" s="1">
        <v>42439.954953703702</v>
      </c>
      <c r="C4" s="1">
        <v>42439.954976851855</v>
      </c>
      <c r="F4" s="3"/>
      <c r="G4" s="3"/>
      <c r="H4" s="3"/>
      <c r="I4" s="3"/>
      <c r="J4" s="3"/>
      <c r="K4" s="3"/>
      <c r="M4" s="2"/>
      <c r="N4" s="2"/>
      <c r="O4" s="2"/>
      <c r="P4" s="2"/>
      <c r="Q4" s="2"/>
      <c r="R4" s="2"/>
      <c r="V4">
        <f t="shared" si="0"/>
        <v>3.333333064801991E-2</v>
      </c>
    </row>
    <row r="5" spans="1:23" x14ac:dyDescent="0.35">
      <c r="A5" s="1">
        <v>42439.954942129632</v>
      </c>
      <c r="B5" s="1">
        <v>42439.954976851855</v>
      </c>
      <c r="C5" s="1">
        <v>42439.954988425925</v>
      </c>
      <c r="F5" s="3"/>
      <c r="G5" s="3"/>
      <c r="H5" s="3"/>
      <c r="I5" s="3"/>
      <c r="J5" s="3"/>
      <c r="K5" s="3"/>
      <c r="M5" s="2"/>
      <c r="N5" s="2"/>
      <c r="O5" s="2"/>
      <c r="P5" s="2"/>
      <c r="Q5" s="2"/>
      <c r="R5" s="2"/>
      <c r="V5">
        <f t="shared" si="0"/>
        <v>1.6666670562699437E-2</v>
      </c>
    </row>
    <row r="6" spans="1:23" x14ac:dyDescent="0.35">
      <c r="A6" s="1">
        <v>42439.954953703702</v>
      </c>
      <c r="B6" s="1">
        <v>42439.954988425925</v>
      </c>
      <c r="C6" s="1">
        <v>42439.954988425925</v>
      </c>
      <c r="F6" s="3"/>
      <c r="G6" s="3"/>
      <c r="H6" s="3"/>
      <c r="I6" s="3"/>
      <c r="J6" s="3"/>
      <c r="K6" s="3"/>
      <c r="M6" s="2"/>
      <c r="N6" s="2"/>
      <c r="O6" s="2"/>
      <c r="P6" s="2"/>
      <c r="Q6" s="2"/>
      <c r="R6" s="2"/>
      <c r="V6">
        <f t="shared" si="0"/>
        <v>1.6666660085320473E-2</v>
      </c>
    </row>
    <row r="7" spans="1:23" x14ac:dyDescent="0.35">
      <c r="A7" s="1">
        <v>42439.980891203704</v>
      </c>
      <c r="B7" s="1">
        <v>42439.980891203704</v>
      </c>
      <c r="C7" s="1">
        <v>42439.98196759259</v>
      </c>
      <c r="F7" s="3"/>
      <c r="G7" s="3"/>
      <c r="H7" s="3"/>
      <c r="I7" s="3"/>
      <c r="J7" s="3"/>
      <c r="K7" s="3"/>
      <c r="M7" s="2"/>
      <c r="N7" s="2"/>
      <c r="O7" s="2"/>
      <c r="P7" s="2"/>
      <c r="Q7" s="2"/>
      <c r="R7" s="2"/>
      <c r="V7">
        <f t="shared" si="0"/>
        <v>37.350000003352761</v>
      </c>
    </row>
    <row r="8" spans="1:23" x14ac:dyDescent="0.35">
      <c r="A8" s="1">
        <v>42439.981562499997</v>
      </c>
      <c r="B8" s="1">
        <v>42439.98196759259</v>
      </c>
      <c r="C8" s="1">
        <v>42440.456574074073</v>
      </c>
      <c r="F8" s="3"/>
      <c r="G8" s="3"/>
      <c r="H8" s="3"/>
      <c r="I8" s="3"/>
      <c r="J8" s="3"/>
      <c r="K8" s="3"/>
      <c r="M8" s="2"/>
      <c r="N8" s="2"/>
      <c r="O8" s="2"/>
      <c r="P8" s="2"/>
      <c r="Q8" s="2"/>
      <c r="R8" s="2"/>
      <c r="V8">
        <f t="shared" si="0"/>
        <v>0.96666666213423014</v>
      </c>
    </row>
    <row r="9" spans="1:23" x14ac:dyDescent="0.35">
      <c r="A9" s="1">
        <v>42439.981851851851</v>
      </c>
      <c r="B9" s="1">
        <v>42440.456574074073</v>
      </c>
      <c r="C9" s="1">
        <v>42440.456585648149</v>
      </c>
      <c r="F9" s="3"/>
      <c r="G9" s="3"/>
      <c r="H9" s="3"/>
      <c r="I9" s="3"/>
      <c r="J9" s="3"/>
      <c r="K9" s="3"/>
      <c r="M9" s="2"/>
      <c r="N9" s="2"/>
      <c r="O9" s="2"/>
      <c r="P9" s="2"/>
      <c r="Q9" s="2"/>
      <c r="R9" s="2"/>
      <c r="V9">
        <f t="shared" si="0"/>
        <v>0.41666666977107525</v>
      </c>
    </row>
    <row r="10" spans="1:23" x14ac:dyDescent="0.35">
      <c r="A10" s="1">
        <v>42439.982129629629</v>
      </c>
      <c r="B10" s="1">
        <v>42440.456585648149</v>
      </c>
      <c r="C10" s="1">
        <v>42440.456585648149</v>
      </c>
      <c r="V10">
        <f t="shared" si="0"/>
        <v>0.39999999920837581</v>
      </c>
    </row>
    <row r="11" spans="1:23" x14ac:dyDescent="0.35">
      <c r="A11" s="1">
        <v>42440.456631944442</v>
      </c>
      <c r="B11" s="1">
        <v>42440.456631944442</v>
      </c>
      <c r="C11" s="1">
        <v>42440.457141203704</v>
      </c>
      <c r="V11">
        <f t="shared" si="0"/>
        <v>683.28333333134651</v>
      </c>
    </row>
    <row r="12" spans="1:23" x14ac:dyDescent="0.35">
      <c r="A12" s="1">
        <v>42440.456736111111</v>
      </c>
      <c r="B12" s="1">
        <v>42440.457141203704</v>
      </c>
      <c r="C12" s="1">
        <v>42440.457361111112</v>
      </c>
      <c r="D12" t="s">
        <v>12</v>
      </c>
      <c r="V12">
        <f t="shared" si="0"/>
        <v>0.15000000363215804</v>
      </c>
    </row>
    <row r="13" spans="1:23" x14ac:dyDescent="0.35">
      <c r="A13" s="1">
        <v>42440.458090277774</v>
      </c>
      <c r="B13" s="1">
        <v>42440.458090277774</v>
      </c>
      <c r="C13" s="1">
        <v>42440.458472222221</v>
      </c>
      <c r="V13">
        <f t="shared" si="0"/>
        <v>1.9499999948311597</v>
      </c>
    </row>
    <row r="14" spans="1:23" x14ac:dyDescent="0.35">
      <c r="A14" s="1">
        <v>42440.458090277774</v>
      </c>
      <c r="B14" s="1">
        <v>42440.458472222221</v>
      </c>
      <c r="C14" s="1">
        <v>42440.458483796298</v>
      </c>
      <c r="D14" t="s">
        <v>13</v>
      </c>
      <c r="V14">
        <f t="shared" si="0"/>
        <v>0</v>
      </c>
    </row>
    <row r="15" spans="1:23" x14ac:dyDescent="0.35">
      <c r="A15" s="1">
        <v>42440.458483796298</v>
      </c>
      <c r="B15" s="1">
        <v>42440.458483796298</v>
      </c>
      <c r="C15" s="1">
        <v>42440.458796296298</v>
      </c>
      <c r="V15">
        <f t="shared" si="0"/>
        <v>0.56666667340323329</v>
      </c>
    </row>
    <row r="16" spans="1:23" x14ac:dyDescent="0.35">
      <c r="A16" s="1">
        <v>42440.459305555552</v>
      </c>
      <c r="B16" s="1">
        <v>42440.459305555552</v>
      </c>
      <c r="C16" s="1">
        <v>42440.459386574075</v>
      </c>
      <c r="D16" t="s">
        <v>14</v>
      </c>
      <c r="V16">
        <f t="shared" si="0"/>
        <v>1.183333327062428</v>
      </c>
    </row>
    <row r="17" spans="1:22" x14ac:dyDescent="0.35">
      <c r="A17" s="1">
        <v>42440.459374999999</v>
      </c>
      <c r="B17" s="1">
        <v>42440.459386574075</v>
      </c>
      <c r="C17" s="1">
        <v>42440.460451388892</v>
      </c>
      <c r="D17" t="s">
        <v>15</v>
      </c>
      <c r="V17">
        <f t="shared" si="0"/>
        <v>0.10000000242143869</v>
      </c>
    </row>
    <row r="18" spans="1:22" x14ac:dyDescent="0.35">
      <c r="A18" s="1">
        <v>42440.45988425926</v>
      </c>
      <c r="B18" s="1">
        <v>42440.460451388892</v>
      </c>
      <c r="C18" s="1">
        <v>42440.461296296293</v>
      </c>
      <c r="D18" t="s">
        <v>16</v>
      </c>
      <c r="V18">
        <f t="shared" si="0"/>
        <v>0.7333333371207118</v>
      </c>
    </row>
    <row r="19" spans="1:22" x14ac:dyDescent="0.35">
      <c r="A19" s="1">
        <v>42440.460381944446</v>
      </c>
      <c r="B19" s="1">
        <v>42440.461296296293</v>
      </c>
      <c r="C19" s="1">
        <v>42440.462268518517</v>
      </c>
      <c r="D19" t="s">
        <v>21</v>
      </c>
      <c r="V19">
        <f t="shared" si="0"/>
        <v>0.71666666655801237</v>
      </c>
    </row>
    <row r="20" spans="1:22" x14ac:dyDescent="0.35">
      <c r="A20" s="1">
        <v>42440.461226851854</v>
      </c>
      <c r="B20" s="1">
        <v>42440.462268518517</v>
      </c>
      <c r="C20" s="1">
        <v>42440.464178240742</v>
      </c>
      <c r="D20" t="s">
        <v>22</v>
      </c>
      <c r="V20">
        <f t="shared" si="0"/>
        <v>1.2166666681878269</v>
      </c>
    </row>
    <row r="21" spans="1:22" x14ac:dyDescent="0.35">
      <c r="A21" s="1">
        <v>42440.461226851854</v>
      </c>
      <c r="B21" s="1">
        <v>42440.464178240742</v>
      </c>
      <c r="C21" s="1">
        <v>42440.465231481481</v>
      </c>
      <c r="D21" t="s">
        <v>23</v>
      </c>
      <c r="V21">
        <f t="shared" si="0"/>
        <v>0</v>
      </c>
    </row>
    <row r="22" spans="1:22" x14ac:dyDescent="0.35">
      <c r="A22" s="1">
        <v>42440.461226851854</v>
      </c>
      <c r="B22" s="1">
        <v>42440.465231481481</v>
      </c>
      <c r="C22" s="1">
        <v>42440.465254629627</v>
      </c>
      <c r="D22" t="s">
        <v>14</v>
      </c>
      <c r="E22" t="s">
        <v>26</v>
      </c>
      <c r="V22">
        <f t="shared" si="0"/>
        <v>0</v>
      </c>
    </row>
    <row r="23" spans="1:22" x14ac:dyDescent="0.35">
      <c r="A23" s="1">
        <v>42440.461909722224</v>
      </c>
      <c r="B23" s="1">
        <v>42440.465254629627</v>
      </c>
      <c r="C23" s="1">
        <v>42440.465682870374</v>
      </c>
      <c r="D23" t="s">
        <v>17</v>
      </c>
      <c r="V23">
        <f t="shared" si="0"/>
        <v>0.98333333269692957</v>
      </c>
    </row>
    <row r="24" spans="1:22" x14ac:dyDescent="0.35">
      <c r="A24" s="1">
        <v>42440.461909722224</v>
      </c>
      <c r="B24" s="1">
        <v>42440.465682870374</v>
      </c>
      <c r="C24" s="1">
        <v>42440.465694444443</v>
      </c>
      <c r="D24" t="s">
        <v>18</v>
      </c>
      <c r="E24" t="s">
        <v>26</v>
      </c>
      <c r="V24">
        <f t="shared" si="0"/>
        <v>0</v>
      </c>
    </row>
    <row r="25" spans="1:22" x14ac:dyDescent="0.35">
      <c r="A25" s="1">
        <v>42440.46193287037</v>
      </c>
      <c r="B25" s="1">
        <v>42440.465694444443</v>
      </c>
      <c r="C25" s="1">
        <v>42440.467442129629</v>
      </c>
      <c r="D25" t="s">
        <v>19</v>
      </c>
      <c r="V25">
        <f t="shared" si="0"/>
        <v>3.333333064801991E-2</v>
      </c>
    </row>
    <row r="26" spans="1:22" x14ac:dyDescent="0.35">
      <c r="A26" s="1">
        <v>42440.462222222224</v>
      </c>
      <c r="B26" s="1">
        <v>42440.467442129629</v>
      </c>
      <c r="C26" s="1">
        <v>42440.467916666668</v>
      </c>
      <c r="D26" t="s">
        <v>20</v>
      </c>
      <c r="V26">
        <f t="shared" si="0"/>
        <v>0.41666666977107525</v>
      </c>
    </row>
    <row r="27" spans="1:22" x14ac:dyDescent="0.35">
      <c r="A27" s="1">
        <v>42440.462233796294</v>
      </c>
      <c r="B27" s="1">
        <v>42440.467916666668</v>
      </c>
      <c r="C27" s="1">
        <v>42440.467916666668</v>
      </c>
      <c r="D27" t="s">
        <v>20</v>
      </c>
      <c r="E27" t="s">
        <v>34</v>
      </c>
      <c r="V27">
        <f t="shared" si="0"/>
        <v>1.6666660085320473E-2</v>
      </c>
    </row>
    <row r="28" spans="1:22" x14ac:dyDescent="0.35">
      <c r="A28" s="1">
        <v>42440.46266203704</v>
      </c>
      <c r="B28" s="1">
        <v>42440.467916666668</v>
      </c>
      <c r="C28" s="1">
        <v>42440.46837962963</v>
      </c>
      <c r="D28" t="s">
        <v>25</v>
      </c>
    </row>
    <row r="29" spans="1:22" x14ac:dyDescent="0.35">
      <c r="A29" s="1">
        <v>42440.463125000002</v>
      </c>
      <c r="B29" s="1">
        <v>42440.46837962963</v>
      </c>
      <c r="C29" s="1">
        <v>42440.4687037037</v>
      </c>
      <c r="D29" t="s">
        <v>24</v>
      </c>
    </row>
    <row r="30" spans="1:22" x14ac:dyDescent="0.35">
      <c r="A30" s="1">
        <v>42440.463634259257</v>
      </c>
      <c r="B30" s="1">
        <v>42440.4687037037</v>
      </c>
      <c r="C30" s="1">
        <v>42440.4690625</v>
      </c>
      <c r="D30" t="s">
        <v>27</v>
      </c>
      <c r="E30" t="s">
        <v>28</v>
      </c>
    </row>
    <row r="31" spans="1:22" x14ac:dyDescent="0.35">
      <c r="A31" s="1">
        <v>42440.463634259257</v>
      </c>
      <c r="B31" s="1">
        <v>42440.4690625</v>
      </c>
      <c r="C31" s="1">
        <v>42440.46912037037</v>
      </c>
      <c r="D31" t="s">
        <v>27</v>
      </c>
      <c r="E31" t="s">
        <v>29</v>
      </c>
    </row>
    <row r="32" spans="1:22" x14ac:dyDescent="0.35">
      <c r="A32" s="1">
        <v>42440.463634259257</v>
      </c>
      <c r="B32" s="1">
        <v>42440.46912037037</v>
      </c>
      <c r="C32" s="1">
        <v>42440.46912037037</v>
      </c>
      <c r="D32" t="s">
        <v>27</v>
      </c>
      <c r="E32" t="s">
        <v>30</v>
      </c>
    </row>
    <row r="33" spans="1:10" x14ac:dyDescent="0.35">
      <c r="A33" s="1">
        <v>42440.463645833333</v>
      </c>
      <c r="B33" s="1">
        <v>42440.46912037037</v>
      </c>
      <c r="C33" s="1">
        <v>42440.46912037037</v>
      </c>
      <c r="D33" t="s">
        <v>27</v>
      </c>
      <c r="E33" t="s">
        <v>31</v>
      </c>
    </row>
    <row r="34" spans="1:10" x14ac:dyDescent="0.35">
      <c r="A34" s="1">
        <v>42440.466134259259</v>
      </c>
      <c r="B34" s="1">
        <v>42440.46912037037</v>
      </c>
      <c r="C34" s="1">
        <v>42440.469722222224</v>
      </c>
      <c r="D34" t="s">
        <v>32</v>
      </c>
    </row>
    <row r="35" spans="1:10" x14ac:dyDescent="0.35">
      <c r="A35" s="1">
        <v>42440.466134259259</v>
      </c>
      <c r="B35" s="1">
        <v>42440.469722222224</v>
      </c>
      <c r="C35" s="1">
        <v>42440.469861111109</v>
      </c>
      <c r="D35" t="s">
        <v>32</v>
      </c>
      <c r="E35" t="s">
        <v>38</v>
      </c>
    </row>
    <row r="36" spans="1:10" x14ac:dyDescent="0.35">
      <c r="A36" s="1">
        <v>42440.46638888889</v>
      </c>
      <c r="B36" s="1">
        <v>42440.469861111109</v>
      </c>
      <c r="C36" s="1">
        <v>42440.470925925925</v>
      </c>
      <c r="D36" t="s">
        <v>33</v>
      </c>
    </row>
    <row r="37" spans="1:10" x14ac:dyDescent="0.35">
      <c r="A37" s="1">
        <v>42440.468402777777</v>
      </c>
      <c r="B37" s="1">
        <v>42440.470925925925</v>
      </c>
      <c r="C37" s="1">
        <v>42440.471388888887</v>
      </c>
      <c r="D37" t="s">
        <v>36</v>
      </c>
    </row>
    <row r="38" spans="1:10" x14ac:dyDescent="0.35">
      <c r="A38" s="1">
        <v>42440.468495370369</v>
      </c>
      <c r="B38" s="1">
        <v>42440.471388888887</v>
      </c>
      <c r="C38" s="1">
        <v>42440.471400462964</v>
      </c>
      <c r="D38" t="s">
        <v>35</v>
      </c>
      <c r="E38" t="s">
        <v>37</v>
      </c>
    </row>
    <row r="39" spans="1:10" x14ac:dyDescent="0.35">
      <c r="A39" s="1">
        <v>42440.47016203704</v>
      </c>
      <c r="B39" s="1">
        <v>42440.471400462964</v>
      </c>
      <c r="C39" s="1">
        <v>42440.471898148149</v>
      </c>
      <c r="D39" t="s">
        <v>39</v>
      </c>
    </row>
    <row r="40" spans="1:10" x14ac:dyDescent="0.35">
      <c r="A40" s="1">
        <v>42440.470347222225</v>
      </c>
      <c r="B40" s="1">
        <v>42440.471898148149</v>
      </c>
      <c r="C40" s="1">
        <v>42440.471990740742</v>
      </c>
      <c r="D40" t="s">
        <v>40</v>
      </c>
    </row>
    <row r="41" spans="1:10" x14ac:dyDescent="0.35">
      <c r="A41" s="1">
        <v>42440.471701388888</v>
      </c>
      <c r="B41" s="1">
        <v>42440.471990740742</v>
      </c>
      <c r="C41" s="1">
        <v>42440.472187500003</v>
      </c>
      <c r="D41" t="s">
        <v>41</v>
      </c>
    </row>
    <row r="42" spans="1:10" x14ac:dyDescent="0.35">
      <c r="A42" s="4">
        <v>42440.471944444442</v>
      </c>
      <c r="B42" s="4">
        <v>42440.472187500003</v>
      </c>
      <c r="C42" s="4">
        <v>42440.472650462965</v>
      </c>
      <c r="D42" s="5" t="s">
        <v>42</v>
      </c>
      <c r="E42" s="5"/>
      <c r="F42" t="s">
        <v>43</v>
      </c>
    </row>
    <row r="43" spans="1:10" x14ac:dyDescent="0.35">
      <c r="A43" s="1">
        <v>42440.474432870367</v>
      </c>
      <c r="B43" s="1">
        <v>42440.474432870367</v>
      </c>
      <c r="C43" s="1">
        <v>42440.475011574075</v>
      </c>
      <c r="D43" t="s">
        <v>44</v>
      </c>
    </row>
    <row r="44" spans="1:10" x14ac:dyDescent="0.35">
      <c r="A44" s="1">
        <v>42440.47488425926</v>
      </c>
      <c r="B44" s="1">
        <v>42440.475011574075</v>
      </c>
      <c r="C44" s="1">
        <v>42440.475231481483</v>
      </c>
      <c r="D44" t="s">
        <v>45</v>
      </c>
      <c r="H44">
        <f>(B44-A44)*24</f>
        <v>3.0555555713362992E-3</v>
      </c>
    </row>
    <row r="45" spans="1:10" x14ac:dyDescent="0.35">
      <c r="A45" s="1">
        <v>42440.475497685184</v>
      </c>
      <c r="B45" s="1">
        <v>42440.475497685184</v>
      </c>
      <c r="C45" s="1">
        <v>42440.475682870368</v>
      </c>
      <c r="D45" t="s">
        <v>46</v>
      </c>
      <c r="H45">
        <f t="shared" ref="H45" si="1">(B45-A45)*24*60</f>
        <v>0</v>
      </c>
      <c r="I45">
        <f t="shared" ref="I45" si="2">(C45-B45)*24*60</f>
        <v>0.26666666613891721</v>
      </c>
      <c r="J45">
        <f>I45+H45</f>
        <v>0.26666666613891721</v>
      </c>
    </row>
    <row r="46" spans="1:10" x14ac:dyDescent="0.35">
      <c r="A46" s="1">
        <v>42440.475497685184</v>
      </c>
      <c r="B46" s="1">
        <v>42440.475682870368</v>
      </c>
      <c r="C46" s="1">
        <v>42440.476099537038</v>
      </c>
      <c r="D46" t="s">
        <v>47</v>
      </c>
      <c r="H46">
        <f t="shared" ref="H46:H109" si="3">(B46-A46)*24*60</f>
        <v>0.26666666613891721</v>
      </c>
      <c r="I46">
        <f t="shared" ref="I46:I109" si="4">(C46-B46)*24*60</f>
        <v>0.6000000040512532</v>
      </c>
      <c r="J46">
        <f t="shared" ref="J46:J109" si="5">I46+H46</f>
        <v>0.86666667019017041</v>
      </c>
    </row>
    <row r="47" spans="1:10" x14ac:dyDescent="0.35">
      <c r="A47" s="4">
        <v>42440.475497685184</v>
      </c>
      <c r="B47" s="4">
        <v>42440.476099537038</v>
      </c>
      <c r="C47" s="4">
        <v>42440.476099537038</v>
      </c>
      <c r="D47" s="5" t="s">
        <v>40</v>
      </c>
      <c r="E47" s="5" t="s">
        <v>48</v>
      </c>
      <c r="F47" t="s">
        <v>43</v>
      </c>
      <c r="H47">
        <f t="shared" si="3"/>
        <v>0.86666667019017041</v>
      </c>
      <c r="I47">
        <f t="shared" si="4"/>
        <v>0</v>
      </c>
      <c r="J47">
        <f t="shared" si="5"/>
        <v>0.86666667019017041</v>
      </c>
    </row>
    <row r="48" spans="1:10" x14ac:dyDescent="0.35">
      <c r="A48" s="1">
        <v>42440.480208333334</v>
      </c>
      <c r="B48" s="1">
        <v>42440.480208333334</v>
      </c>
      <c r="C48" s="1">
        <v>42440.480729166666</v>
      </c>
      <c r="D48" t="s">
        <v>40</v>
      </c>
      <c r="H48">
        <f t="shared" si="3"/>
        <v>0</v>
      </c>
      <c r="I48">
        <f t="shared" si="4"/>
        <v>0.74999999720603228</v>
      </c>
      <c r="J48">
        <f t="shared" si="5"/>
        <v>0.74999999720603228</v>
      </c>
    </row>
    <row r="49" spans="1:10" x14ac:dyDescent="0.35">
      <c r="A49" s="1">
        <v>42440.481388888889</v>
      </c>
      <c r="B49" s="1">
        <v>42440.481388888889</v>
      </c>
      <c r="C49" s="1">
        <v>42440.482314814813</v>
      </c>
      <c r="D49" t="s">
        <v>35</v>
      </c>
      <c r="H49">
        <f t="shared" si="3"/>
        <v>0</v>
      </c>
      <c r="I49">
        <f t="shared" si="4"/>
        <v>1.333333330694586</v>
      </c>
      <c r="J49">
        <f t="shared" si="5"/>
        <v>1.333333330694586</v>
      </c>
    </row>
    <row r="50" spans="1:10" x14ac:dyDescent="0.35">
      <c r="A50" s="1">
        <v>42440.481400462966</v>
      </c>
      <c r="B50" s="1">
        <v>42440.482314814813</v>
      </c>
      <c r="C50" s="1">
        <v>42440.482314814813</v>
      </c>
      <c r="D50" t="s">
        <v>49</v>
      </c>
      <c r="H50">
        <f t="shared" si="3"/>
        <v>1.3166666601318866</v>
      </c>
      <c r="I50">
        <f t="shared" si="4"/>
        <v>0</v>
      </c>
      <c r="J50">
        <f t="shared" si="5"/>
        <v>1.3166666601318866</v>
      </c>
    </row>
    <row r="51" spans="1:10" x14ac:dyDescent="0.35">
      <c r="A51" s="1">
        <v>42440.482673611114</v>
      </c>
      <c r="B51" s="1">
        <v>42440.482673611114</v>
      </c>
      <c r="C51" s="1">
        <v>42440.482928240737</v>
      </c>
      <c r="D51" t="s">
        <v>39</v>
      </c>
      <c r="H51">
        <f t="shared" si="3"/>
        <v>0</v>
      </c>
      <c r="I51">
        <f t="shared" si="4"/>
        <v>0.36666665808297694</v>
      </c>
      <c r="J51">
        <f t="shared" si="5"/>
        <v>0.36666665808297694</v>
      </c>
    </row>
    <row r="52" spans="1:10" x14ac:dyDescent="0.35">
      <c r="A52" s="4">
        <v>42440.483865740738</v>
      </c>
      <c r="B52" s="4">
        <v>42440.483865740738</v>
      </c>
      <c r="C52" s="4">
        <v>42440.484537037039</v>
      </c>
      <c r="D52" s="5" t="s">
        <v>50</v>
      </c>
      <c r="E52" s="5"/>
      <c r="F52" t="s">
        <v>52</v>
      </c>
      <c r="H52">
        <f t="shared" si="3"/>
        <v>0</v>
      </c>
      <c r="I52">
        <f t="shared" si="4"/>
        <v>0.9666666726116091</v>
      </c>
      <c r="J52">
        <f t="shared" si="5"/>
        <v>0.9666666726116091</v>
      </c>
    </row>
    <row r="53" spans="1:10" x14ac:dyDescent="0.35">
      <c r="A53" s="1">
        <v>42440.48877314815</v>
      </c>
      <c r="B53" s="1">
        <v>42440.48877314815</v>
      </c>
      <c r="C53" s="1">
        <v>42440.489166666666</v>
      </c>
      <c r="D53" t="s">
        <v>32</v>
      </c>
      <c r="H53">
        <f t="shared" si="3"/>
        <v>0</v>
      </c>
      <c r="I53">
        <f t="shared" si="4"/>
        <v>0.56666666292585433</v>
      </c>
      <c r="J53">
        <f t="shared" si="5"/>
        <v>0.56666666292585433</v>
      </c>
    </row>
    <row r="54" spans="1:10" x14ac:dyDescent="0.35">
      <c r="A54" s="1">
        <v>42440.491249999999</v>
      </c>
      <c r="B54" s="1">
        <v>42440.491249999999</v>
      </c>
      <c r="C54" s="1">
        <v>42440.492129629631</v>
      </c>
      <c r="D54" t="s">
        <v>53</v>
      </c>
      <c r="H54">
        <f t="shared" si="3"/>
        <v>0</v>
      </c>
      <c r="I54">
        <f t="shared" si="4"/>
        <v>1.2666666693985462</v>
      </c>
      <c r="J54">
        <f t="shared" si="5"/>
        <v>1.2666666693985462</v>
      </c>
    </row>
    <row r="55" spans="1:10" x14ac:dyDescent="0.35">
      <c r="A55" s="1">
        <v>42440.491249999999</v>
      </c>
      <c r="B55" s="1">
        <v>42440.492129629631</v>
      </c>
      <c r="C55" s="1">
        <v>42440.493333333332</v>
      </c>
      <c r="D55" t="s">
        <v>54</v>
      </c>
      <c r="H55">
        <f t="shared" si="3"/>
        <v>1.2666666693985462</v>
      </c>
      <c r="I55">
        <f t="shared" si="4"/>
        <v>1.7333333299029619</v>
      </c>
      <c r="J55">
        <f t="shared" si="5"/>
        <v>2.9999999993015081</v>
      </c>
    </row>
    <row r="56" spans="1:10" x14ac:dyDescent="0.35">
      <c r="A56" s="1">
        <v>42440.491261574076</v>
      </c>
      <c r="B56" s="1">
        <v>42440.493333333332</v>
      </c>
      <c r="C56" s="1">
        <v>42440.493333333332</v>
      </c>
      <c r="D56" t="s">
        <v>55</v>
      </c>
      <c r="E56" t="s">
        <v>57</v>
      </c>
      <c r="H56">
        <f t="shared" si="3"/>
        <v>2.9833333287388086</v>
      </c>
      <c r="I56">
        <f t="shared" si="4"/>
        <v>0</v>
      </c>
      <c r="J56">
        <f t="shared" si="5"/>
        <v>2.9833333287388086</v>
      </c>
    </row>
    <row r="57" spans="1:10" x14ac:dyDescent="0.35">
      <c r="A57" s="1">
        <v>42440.491689814815</v>
      </c>
      <c r="B57" s="1">
        <v>42440.493333333332</v>
      </c>
      <c r="C57" s="1">
        <v>42440.493946759256</v>
      </c>
      <c r="D57" t="s">
        <v>56</v>
      </c>
      <c r="H57">
        <f t="shared" si="3"/>
        <v>2.366666664602235</v>
      </c>
      <c r="I57">
        <f t="shared" si="4"/>
        <v>0.88333333027549088</v>
      </c>
      <c r="J57">
        <f t="shared" si="5"/>
        <v>3.2499999948777258</v>
      </c>
    </row>
    <row r="58" spans="1:10" x14ac:dyDescent="0.35">
      <c r="A58" s="1">
        <v>42440.49417824074</v>
      </c>
      <c r="B58" s="1">
        <v>42440.49417824074</v>
      </c>
      <c r="C58" s="1">
        <v>42440.494525462964</v>
      </c>
      <c r="D58" t="s">
        <v>58</v>
      </c>
      <c r="H58">
        <f t="shared" si="3"/>
        <v>0</v>
      </c>
      <c r="I58">
        <f t="shared" si="4"/>
        <v>0.50000000162981451</v>
      </c>
      <c r="J58">
        <f t="shared" si="5"/>
        <v>0.50000000162981451</v>
      </c>
    </row>
    <row r="59" spans="1:10" x14ac:dyDescent="0.35">
      <c r="A59" s="1">
        <v>42440.497407407405</v>
      </c>
      <c r="B59" s="1">
        <v>42440.497407407405</v>
      </c>
      <c r="C59" s="1">
        <v>42440.49790509259</v>
      </c>
      <c r="D59" t="s">
        <v>59</v>
      </c>
      <c r="H59">
        <f t="shared" si="3"/>
        <v>0</v>
      </c>
      <c r="I59">
        <f t="shared" si="4"/>
        <v>0.71666666655801237</v>
      </c>
      <c r="J59">
        <f t="shared" si="5"/>
        <v>0.71666666655801237</v>
      </c>
    </row>
    <row r="60" spans="1:10" x14ac:dyDescent="0.35">
      <c r="A60" s="1">
        <v>42440.49931712963</v>
      </c>
      <c r="B60" s="1">
        <v>42440.49931712963</v>
      </c>
      <c r="C60" s="1">
        <v>42440.50068287037</v>
      </c>
      <c r="D60" t="s">
        <v>60</v>
      </c>
      <c r="H60">
        <f t="shared" si="3"/>
        <v>0</v>
      </c>
      <c r="I60">
        <f t="shared" si="4"/>
        <v>1.9666666653938591</v>
      </c>
      <c r="J60">
        <f t="shared" si="5"/>
        <v>1.9666666653938591</v>
      </c>
    </row>
    <row r="61" spans="1:10" x14ac:dyDescent="0.35">
      <c r="A61" s="1">
        <v>42440.500300925924</v>
      </c>
      <c r="B61" s="1">
        <v>42440.50068287037</v>
      </c>
      <c r="C61" s="1">
        <v>42440.501122685186</v>
      </c>
      <c r="D61" t="s">
        <v>39</v>
      </c>
      <c r="H61">
        <f t="shared" si="3"/>
        <v>0.55000000284053385</v>
      </c>
      <c r="I61">
        <f t="shared" si="4"/>
        <v>0.63333333469927311</v>
      </c>
      <c r="J61">
        <f t="shared" si="5"/>
        <v>1.183333337539807</v>
      </c>
    </row>
    <row r="62" spans="1:10" x14ac:dyDescent="0.35">
      <c r="A62" s="1">
        <v>42440.5003125</v>
      </c>
      <c r="B62" s="1">
        <v>42440.501122685186</v>
      </c>
      <c r="C62" s="1">
        <v>42440.501701388886</v>
      </c>
      <c r="D62" t="s">
        <v>61</v>
      </c>
      <c r="H62">
        <f t="shared" si="3"/>
        <v>1.1666666669771075</v>
      </c>
      <c r="I62">
        <f t="shared" si="4"/>
        <v>0.83333332906477153</v>
      </c>
      <c r="J62">
        <f t="shared" si="5"/>
        <v>1.9999999960418791</v>
      </c>
    </row>
    <row r="63" spans="1:10" x14ac:dyDescent="0.35">
      <c r="A63" s="1">
        <v>42440.500983796293</v>
      </c>
      <c r="B63" s="1">
        <v>42440.501701388886</v>
      </c>
      <c r="C63" s="1">
        <v>42440.502002314817</v>
      </c>
      <c r="D63" t="s">
        <v>62</v>
      </c>
      <c r="H63">
        <f t="shared" si="3"/>
        <v>1.0333333339076489</v>
      </c>
      <c r="I63">
        <f t="shared" si="4"/>
        <v>0.43333334033377469</v>
      </c>
      <c r="J63">
        <f t="shared" si="5"/>
        <v>1.4666666742414236</v>
      </c>
    </row>
    <row r="64" spans="1:10" x14ac:dyDescent="0.35">
      <c r="A64" s="1">
        <v>42440.501793981479</v>
      </c>
      <c r="B64" s="1">
        <v>42440.502002314817</v>
      </c>
      <c r="C64" s="1">
        <v>42440.50277777778</v>
      </c>
      <c r="D64" t="s">
        <v>63</v>
      </c>
      <c r="H64">
        <f t="shared" si="3"/>
        <v>0.30000000726431608</v>
      </c>
      <c r="I64">
        <f t="shared" si="4"/>
        <v>1.1166666657663882</v>
      </c>
      <c r="J64">
        <f t="shared" si="5"/>
        <v>1.4166666730307043</v>
      </c>
    </row>
    <row r="65" spans="1:10" x14ac:dyDescent="0.35">
      <c r="A65" s="1">
        <v>42440.502627314818</v>
      </c>
      <c r="B65" s="1">
        <v>42440.50277777778</v>
      </c>
      <c r="C65" s="1">
        <v>42440.50341435185</v>
      </c>
      <c r="D65" t="s">
        <v>64</v>
      </c>
      <c r="H65">
        <f t="shared" si="3"/>
        <v>0.21666666492819786</v>
      </c>
      <c r="I65">
        <f t="shared" si="4"/>
        <v>0.91666666092351079</v>
      </c>
      <c r="J65">
        <f t="shared" si="5"/>
        <v>1.1333333258517087</v>
      </c>
    </row>
    <row r="66" spans="1:10" x14ac:dyDescent="0.35">
      <c r="A66" s="1">
        <v>42440.502627314818</v>
      </c>
      <c r="B66" s="1">
        <v>42440.50341435185</v>
      </c>
      <c r="C66" s="1">
        <v>42440.503553240742</v>
      </c>
      <c r="D66" t="s">
        <v>65</v>
      </c>
      <c r="E66" t="s">
        <v>67</v>
      </c>
      <c r="H66">
        <f t="shared" si="3"/>
        <v>1.1333333258517087</v>
      </c>
      <c r="I66">
        <f t="shared" si="4"/>
        <v>0.20000000484287739</v>
      </c>
      <c r="J66">
        <f t="shared" si="5"/>
        <v>1.333333330694586</v>
      </c>
    </row>
    <row r="67" spans="1:10" x14ac:dyDescent="0.35">
      <c r="A67" s="1">
        <v>42440.503217592595</v>
      </c>
      <c r="B67" s="1">
        <v>42440.503553240742</v>
      </c>
      <c r="C67" s="1">
        <v>42440.503564814811</v>
      </c>
      <c r="D67" t="s">
        <v>66</v>
      </c>
      <c r="H67">
        <f t="shared" si="3"/>
        <v>0.48333333106711507</v>
      </c>
      <c r="I67">
        <f t="shared" si="4"/>
        <v>1.6666660085320473E-2</v>
      </c>
      <c r="J67">
        <f t="shared" si="5"/>
        <v>0.49999999115243554</v>
      </c>
    </row>
    <row r="68" spans="1:10" x14ac:dyDescent="0.35">
      <c r="A68" s="1">
        <v>42440.504004629627</v>
      </c>
      <c r="B68" s="1">
        <v>42440.504004629627</v>
      </c>
      <c r="C68" s="1">
        <v>42440.50509259259</v>
      </c>
      <c r="D68" t="s">
        <v>68</v>
      </c>
      <c r="H68">
        <f t="shared" si="3"/>
        <v>0</v>
      </c>
      <c r="I68">
        <f t="shared" si="4"/>
        <v>1.5666666661854833</v>
      </c>
      <c r="J68">
        <f t="shared" si="5"/>
        <v>1.5666666661854833</v>
      </c>
    </row>
    <row r="69" spans="1:10" x14ac:dyDescent="0.35">
      <c r="A69" s="1">
        <v>42440.504189814812</v>
      </c>
      <c r="B69" s="1">
        <v>42440.50509259259</v>
      </c>
      <c r="C69" s="1">
        <v>42440.50582175926</v>
      </c>
      <c r="D69" t="s">
        <v>69</v>
      </c>
      <c r="H69">
        <f t="shared" si="3"/>
        <v>1.3000000000465661</v>
      </c>
      <c r="I69">
        <f t="shared" si="4"/>
        <v>1.0500000044703484</v>
      </c>
      <c r="J69">
        <f t="shared" si="5"/>
        <v>2.3500000045169145</v>
      </c>
    </row>
    <row r="70" spans="1:10" x14ac:dyDescent="0.35">
      <c r="A70" s="1">
        <v>42440.505069444444</v>
      </c>
      <c r="B70" s="1">
        <v>42440.50582175926</v>
      </c>
      <c r="C70" s="1">
        <v>42440.507002314815</v>
      </c>
      <c r="D70" t="s">
        <v>70</v>
      </c>
      <c r="H70">
        <f t="shared" si="3"/>
        <v>1.0833333351183683</v>
      </c>
      <c r="I70">
        <f t="shared" si="4"/>
        <v>1.6999999992549419</v>
      </c>
      <c r="J70">
        <f t="shared" si="5"/>
        <v>2.7833333343733102</v>
      </c>
    </row>
    <row r="71" spans="1:10" x14ac:dyDescent="0.35">
      <c r="A71" s="1">
        <v>42440.505069444444</v>
      </c>
      <c r="B71" s="1">
        <v>42440.507002314815</v>
      </c>
      <c r="C71" s="1">
        <v>42440.507777777777</v>
      </c>
      <c r="D71" t="s">
        <v>72</v>
      </c>
      <c r="H71">
        <f t="shared" si="3"/>
        <v>2.7833333343733102</v>
      </c>
      <c r="I71">
        <f t="shared" si="4"/>
        <v>1.1166666657663882</v>
      </c>
      <c r="J71">
        <f t="shared" si="5"/>
        <v>3.9000000001396984</v>
      </c>
    </row>
    <row r="72" spans="1:10" x14ac:dyDescent="0.35">
      <c r="A72" s="1">
        <v>42440.505486111113</v>
      </c>
      <c r="B72" s="1">
        <v>42440.507777777777</v>
      </c>
      <c r="C72" s="1">
        <v>42440.508611111109</v>
      </c>
      <c r="D72" t="s">
        <v>71</v>
      </c>
      <c r="H72">
        <f t="shared" si="3"/>
        <v>3.2999999960884452</v>
      </c>
      <c r="I72">
        <f t="shared" si="4"/>
        <v>1.1999999976251274</v>
      </c>
      <c r="J72">
        <f t="shared" si="5"/>
        <v>4.4999999937135726</v>
      </c>
    </row>
    <row r="73" spans="1:10" x14ac:dyDescent="0.35">
      <c r="A73" s="1">
        <v>42440.507557870369</v>
      </c>
      <c r="B73" s="1">
        <v>42440.508611111109</v>
      </c>
      <c r="C73" s="1">
        <v>42440.509155092594</v>
      </c>
      <c r="D73" t="s">
        <v>73</v>
      </c>
      <c r="H73">
        <f t="shared" si="3"/>
        <v>1.516666664974764</v>
      </c>
      <c r="I73">
        <f t="shared" si="4"/>
        <v>0.78333333833143115</v>
      </c>
      <c r="J73">
        <f t="shared" si="5"/>
        <v>2.3000000033061951</v>
      </c>
    </row>
    <row r="74" spans="1:10" x14ac:dyDescent="0.35">
      <c r="A74" s="1">
        <v>42440.508715277778</v>
      </c>
      <c r="B74" s="1">
        <v>42440.509155092594</v>
      </c>
      <c r="C74" s="1">
        <v>42440.509340277778</v>
      </c>
      <c r="D74" t="s">
        <v>74</v>
      </c>
      <c r="H74">
        <f t="shared" si="3"/>
        <v>0.63333333469927311</v>
      </c>
      <c r="I74">
        <f t="shared" si="4"/>
        <v>0.26666666613891721</v>
      </c>
      <c r="J74">
        <f t="shared" si="5"/>
        <v>0.90000000083819032</v>
      </c>
    </row>
    <row r="75" spans="1:10" x14ac:dyDescent="0.35">
      <c r="A75" s="1">
        <v>42440.508831018517</v>
      </c>
      <c r="B75" s="1">
        <v>42440.509340277778</v>
      </c>
      <c r="C75" s="1">
        <v>42440.50980324074</v>
      </c>
      <c r="D75" t="s">
        <v>75</v>
      </c>
      <c r="H75">
        <f t="shared" si="3"/>
        <v>0.7333333371207118</v>
      </c>
      <c r="I75">
        <f t="shared" si="4"/>
        <v>0.66666666534729302</v>
      </c>
      <c r="J75">
        <f t="shared" si="5"/>
        <v>1.4000000024680048</v>
      </c>
    </row>
    <row r="76" spans="1:10" x14ac:dyDescent="0.35">
      <c r="A76" s="1">
        <v>42440.511064814818</v>
      </c>
      <c r="B76" s="1">
        <v>42440.511064814818</v>
      </c>
      <c r="C76" s="1">
        <v>42440.511458333334</v>
      </c>
      <c r="D76" t="s">
        <v>76</v>
      </c>
      <c r="H76">
        <f t="shared" si="3"/>
        <v>0</v>
      </c>
      <c r="I76">
        <f t="shared" si="4"/>
        <v>0.56666666292585433</v>
      </c>
      <c r="J76">
        <f t="shared" si="5"/>
        <v>0.56666666292585433</v>
      </c>
    </row>
    <row r="77" spans="1:10" x14ac:dyDescent="0.35">
      <c r="A77" s="1">
        <v>42440.51122685185</v>
      </c>
      <c r="B77" s="1">
        <v>42440.511458333334</v>
      </c>
      <c r="C77" s="1">
        <v>42440.511678240742</v>
      </c>
      <c r="H77">
        <f t="shared" si="3"/>
        <v>0.33333333791233599</v>
      </c>
      <c r="I77">
        <f t="shared" si="4"/>
        <v>0.31666666734963655</v>
      </c>
      <c r="J77">
        <f t="shared" si="5"/>
        <v>0.65000000526197255</v>
      </c>
    </row>
    <row r="78" spans="1:10" x14ac:dyDescent="0.35">
      <c r="A78" s="1">
        <v>42440.51122685185</v>
      </c>
      <c r="B78" s="1">
        <v>42440.511678240742</v>
      </c>
      <c r="C78" s="1">
        <v>42440.512627314813</v>
      </c>
      <c r="D78" t="s">
        <v>77</v>
      </c>
      <c r="H78">
        <f t="shared" si="3"/>
        <v>0.65000000526197255</v>
      </c>
      <c r="I78">
        <f t="shared" si="4"/>
        <v>1.3666666613426059</v>
      </c>
      <c r="J78">
        <f t="shared" si="5"/>
        <v>2.0166666666045785</v>
      </c>
    </row>
    <row r="79" spans="1:10" x14ac:dyDescent="0.35">
      <c r="A79" s="1">
        <v>42440.511307870373</v>
      </c>
      <c r="B79" s="1">
        <v>42440.512627314813</v>
      </c>
      <c r="C79" s="1">
        <v>42440.514537037037</v>
      </c>
      <c r="D79" t="s">
        <v>78</v>
      </c>
      <c r="H79">
        <f t="shared" si="3"/>
        <v>1.8999999936204404</v>
      </c>
      <c r="I79">
        <f t="shared" si="4"/>
        <v>2.7500000037252903</v>
      </c>
      <c r="J79">
        <f t="shared" si="5"/>
        <v>4.6499999973457307</v>
      </c>
    </row>
    <row r="80" spans="1:10" x14ac:dyDescent="0.35">
      <c r="A80" s="1">
        <v>42440.511307870373</v>
      </c>
      <c r="B80" s="1">
        <v>42440.514537037037</v>
      </c>
      <c r="C80" s="1">
        <v>42440.515960648147</v>
      </c>
      <c r="D80" t="s">
        <v>79</v>
      </c>
      <c r="H80">
        <f t="shared" si="3"/>
        <v>4.6499999973457307</v>
      </c>
      <c r="I80">
        <f t="shared" si="4"/>
        <v>2.0499999972525984</v>
      </c>
      <c r="J80">
        <f t="shared" si="5"/>
        <v>6.6999999945983291</v>
      </c>
    </row>
    <row r="81" spans="1:10" x14ac:dyDescent="0.35">
      <c r="A81" s="1">
        <v>42440.51152777778</v>
      </c>
      <c r="B81" s="1">
        <v>42440.515960648147</v>
      </c>
      <c r="C81" s="1">
        <v>42440.516134259262</v>
      </c>
      <c r="D81" t="s">
        <v>80</v>
      </c>
      <c r="H81">
        <f t="shared" si="3"/>
        <v>6.3833333272486925</v>
      </c>
      <c r="I81">
        <f t="shared" si="4"/>
        <v>0.25000000605359674</v>
      </c>
      <c r="J81">
        <f t="shared" si="5"/>
        <v>6.6333333333022892</v>
      </c>
    </row>
    <row r="82" spans="1:10" x14ac:dyDescent="0.35">
      <c r="A82" s="1">
        <v>42440.511793981481</v>
      </c>
      <c r="B82" s="1">
        <v>42440.516145833331</v>
      </c>
      <c r="C82" s="1">
        <v>42440.517523148148</v>
      </c>
      <c r="D82" t="s">
        <v>81</v>
      </c>
      <c r="H82">
        <f t="shared" si="3"/>
        <v>6.2666666647419333</v>
      </c>
      <c r="I82">
        <f t="shared" si="4"/>
        <v>1.9833333359565586</v>
      </c>
      <c r="J82">
        <f t="shared" si="5"/>
        <v>8.2500000006984919</v>
      </c>
    </row>
    <row r="83" spans="1:10" x14ac:dyDescent="0.35">
      <c r="A83" s="1">
        <v>42440.511990740742</v>
      </c>
      <c r="B83" s="1">
        <v>42440.517523148148</v>
      </c>
      <c r="C83" s="1">
        <v>42440.518055555556</v>
      </c>
      <c r="D83" t="s">
        <v>82</v>
      </c>
      <c r="H83">
        <f t="shared" si="3"/>
        <v>7.9666666639968753</v>
      </c>
      <c r="I83">
        <f t="shared" si="4"/>
        <v>0.76666666776873171</v>
      </c>
      <c r="J83">
        <f t="shared" si="5"/>
        <v>8.733333331765607</v>
      </c>
    </row>
    <row r="84" spans="1:10" x14ac:dyDescent="0.35">
      <c r="A84" s="1">
        <v>42440.511990740742</v>
      </c>
      <c r="B84" s="1">
        <v>42440.518055555556</v>
      </c>
      <c r="C84" s="1">
        <v>42440.518692129626</v>
      </c>
      <c r="D84" t="s">
        <v>83</v>
      </c>
      <c r="H84">
        <f t="shared" si="3"/>
        <v>8.733333331765607</v>
      </c>
      <c r="I84">
        <f t="shared" si="4"/>
        <v>0.91666666092351079</v>
      </c>
      <c r="J84">
        <f t="shared" si="5"/>
        <v>9.6499999926891178</v>
      </c>
    </row>
    <row r="85" spans="1:10" x14ac:dyDescent="0.35">
      <c r="A85" s="1">
        <v>42440.512928240743</v>
      </c>
      <c r="B85" s="1">
        <v>42440.518692129626</v>
      </c>
      <c r="C85" s="1">
        <v>42440.52</v>
      </c>
      <c r="D85" t="s">
        <v>84</v>
      </c>
      <c r="H85">
        <f t="shared" si="3"/>
        <v>8.2999999914318323</v>
      </c>
      <c r="I85">
        <f t="shared" si="4"/>
        <v>1.8833333335351199</v>
      </c>
      <c r="J85">
        <f t="shared" si="5"/>
        <v>10.183333324966952</v>
      </c>
    </row>
    <row r="86" spans="1:10" x14ac:dyDescent="0.35">
      <c r="A86" s="1">
        <v>42440.513738425929</v>
      </c>
      <c r="B86" s="1">
        <v>42440.52</v>
      </c>
      <c r="C86" s="1">
        <v>42440.520150462966</v>
      </c>
      <c r="D86" t="s">
        <v>85</v>
      </c>
      <c r="H86">
        <f t="shared" si="3"/>
        <v>9.0166666579898447</v>
      </c>
      <c r="I86">
        <f t="shared" si="4"/>
        <v>0.21666667540557683</v>
      </c>
      <c r="J86">
        <f t="shared" si="5"/>
        <v>9.2333333333954215</v>
      </c>
    </row>
    <row r="87" spans="1:10" x14ac:dyDescent="0.35">
      <c r="A87" s="1">
        <v>42440.513738425929</v>
      </c>
      <c r="B87" s="1">
        <v>42440.520150462966</v>
      </c>
      <c r="C87" s="1">
        <v>42440.520335648151</v>
      </c>
      <c r="D87" t="s">
        <v>86</v>
      </c>
      <c r="H87">
        <f t="shared" si="3"/>
        <v>9.2333333333954215</v>
      </c>
      <c r="I87">
        <f t="shared" si="4"/>
        <v>0.26666666613891721</v>
      </c>
      <c r="J87">
        <f t="shared" si="5"/>
        <v>9.4999999995343387</v>
      </c>
    </row>
    <row r="88" spans="1:10" x14ac:dyDescent="0.35">
      <c r="A88" s="1">
        <v>42440.515428240738</v>
      </c>
      <c r="B88" s="1">
        <v>42440.520335648151</v>
      </c>
      <c r="C88" s="1">
        <v>42440.521053240744</v>
      </c>
      <c r="D88" t="s">
        <v>87</v>
      </c>
      <c r="H88">
        <f t="shared" si="3"/>
        <v>7.0666666736360639</v>
      </c>
      <c r="I88">
        <f t="shared" si="4"/>
        <v>1.0333333339076489</v>
      </c>
      <c r="J88">
        <f t="shared" si="5"/>
        <v>8.1000000075437129</v>
      </c>
    </row>
    <row r="89" spans="1:10" x14ac:dyDescent="0.35">
      <c r="A89" s="1">
        <v>42440.515439814815</v>
      </c>
      <c r="B89" s="1">
        <v>42440.521053240744</v>
      </c>
      <c r="C89" s="1">
        <v>42440.52107638889</v>
      </c>
      <c r="D89" t="s">
        <v>87</v>
      </c>
      <c r="E89" t="s">
        <v>95</v>
      </c>
      <c r="H89">
        <f t="shared" si="3"/>
        <v>8.0833333369810134</v>
      </c>
      <c r="I89">
        <f t="shared" si="4"/>
        <v>3.333333064801991E-2</v>
      </c>
      <c r="J89">
        <f t="shared" si="5"/>
        <v>8.1166666676290333</v>
      </c>
    </row>
    <row r="90" spans="1:10" x14ac:dyDescent="0.35">
      <c r="A90" s="1">
        <v>42440.518333333333</v>
      </c>
      <c r="B90" s="1">
        <v>42440.52107638889</v>
      </c>
      <c r="C90" s="1">
        <v>42440.521435185183</v>
      </c>
      <c r="D90" t="s">
        <v>88</v>
      </c>
      <c r="H90">
        <f t="shared" si="3"/>
        <v>3.9500000013504177</v>
      </c>
      <c r="I90">
        <f t="shared" si="4"/>
        <v>0.51666666171513498</v>
      </c>
      <c r="J90">
        <f t="shared" si="5"/>
        <v>4.4666666630655527</v>
      </c>
    </row>
    <row r="91" spans="1:10" x14ac:dyDescent="0.35">
      <c r="A91" s="1">
        <v>42440.518472222226</v>
      </c>
      <c r="B91" s="1">
        <v>42440.521435185183</v>
      </c>
      <c r="C91" s="1">
        <v>42440.521608796298</v>
      </c>
      <c r="D91" t="s">
        <v>89</v>
      </c>
      <c r="H91">
        <f t="shared" si="3"/>
        <v>4.2666666582226753</v>
      </c>
      <c r="I91">
        <f t="shared" si="4"/>
        <v>0.25000000605359674</v>
      </c>
      <c r="J91">
        <f t="shared" si="5"/>
        <v>4.5166666642762721</v>
      </c>
    </row>
    <row r="92" spans="1:10" x14ac:dyDescent="0.35">
      <c r="A92" s="1">
        <v>42440.518483796295</v>
      </c>
      <c r="B92" s="1">
        <v>42440.521608796298</v>
      </c>
      <c r="C92" s="1">
        <v>42440.521944444445</v>
      </c>
      <c r="D92" t="s">
        <v>90</v>
      </c>
      <c r="H92">
        <f t="shared" si="3"/>
        <v>4.5000000041909516</v>
      </c>
      <c r="I92">
        <f t="shared" si="4"/>
        <v>0.48333333106711507</v>
      </c>
      <c r="J92">
        <f t="shared" si="5"/>
        <v>4.9833333352580667</v>
      </c>
    </row>
    <row r="93" spans="1:10" x14ac:dyDescent="0.35">
      <c r="A93" s="1">
        <v>42440.519386574073</v>
      </c>
      <c r="B93" s="1">
        <v>42440.521944444445</v>
      </c>
      <c r="C93" s="1">
        <v>42440.522233796299</v>
      </c>
      <c r="D93" t="s">
        <v>70</v>
      </c>
      <c r="H93">
        <f t="shared" si="3"/>
        <v>3.6833333352115005</v>
      </c>
      <c r="I93">
        <f t="shared" si="4"/>
        <v>0.41666666977107525</v>
      </c>
      <c r="J93">
        <f t="shared" si="5"/>
        <v>4.1000000049825758</v>
      </c>
    </row>
    <row r="94" spans="1:10" x14ac:dyDescent="0.35">
      <c r="A94" s="1">
        <v>42440.519444444442</v>
      </c>
      <c r="B94" s="1">
        <v>42440.522233796299</v>
      </c>
      <c r="C94" s="1">
        <v>42440.523287037038</v>
      </c>
      <c r="D94" t="s">
        <v>91</v>
      </c>
      <c r="H94">
        <f t="shared" si="3"/>
        <v>4.0166666731238365</v>
      </c>
      <c r="I94">
        <f t="shared" si="4"/>
        <v>1.516666664974764</v>
      </c>
      <c r="J94">
        <f t="shared" si="5"/>
        <v>5.5333333380986005</v>
      </c>
    </row>
    <row r="95" spans="1:10" x14ac:dyDescent="0.35">
      <c r="A95" s="1">
        <v>42440.519467592596</v>
      </c>
      <c r="B95" s="1">
        <v>42440.523287037038</v>
      </c>
      <c r="C95" s="1">
        <v>42440.523287037038</v>
      </c>
      <c r="D95" t="s">
        <v>92</v>
      </c>
      <c r="E95" t="s">
        <v>95</v>
      </c>
      <c r="H95">
        <f t="shared" si="3"/>
        <v>5.4999999969732016</v>
      </c>
      <c r="I95">
        <f t="shared" si="4"/>
        <v>0</v>
      </c>
      <c r="J95">
        <f t="shared" si="5"/>
        <v>5.4999999969732016</v>
      </c>
    </row>
    <row r="96" spans="1:10" x14ac:dyDescent="0.35">
      <c r="A96" s="1">
        <v>42440.519699074073</v>
      </c>
      <c r="B96" s="1">
        <v>42440.523287037038</v>
      </c>
      <c r="C96" s="1">
        <v>42440.524722222224</v>
      </c>
      <c r="D96" t="s">
        <v>93</v>
      </c>
      <c r="H96">
        <f t="shared" si="3"/>
        <v>5.1666666695382446</v>
      </c>
      <c r="I96">
        <f t="shared" si="4"/>
        <v>2.0666666678152978</v>
      </c>
      <c r="J96">
        <f t="shared" si="5"/>
        <v>7.2333333373535424</v>
      </c>
    </row>
    <row r="97" spans="1:10" x14ac:dyDescent="0.35">
      <c r="A97" s="1">
        <v>42440.520451388889</v>
      </c>
      <c r="B97" s="1">
        <v>42440.524722222224</v>
      </c>
      <c r="C97" s="1">
        <v>42440.524942129632</v>
      </c>
      <c r="D97" t="s">
        <v>94</v>
      </c>
      <c r="H97">
        <f t="shared" si="3"/>
        <v>6.1500000022351742</v>
      </c>
      <c r="I97">
        <f t="shared" si="4"/>
        <v>0.31666666734963655</v>
      </c>
      <c r="J97">
        <f t="shared" si="5"/>
        <v>6.4666666695848107</v>
      </c>
    </row>
    <row r="98" spans="1:10" x14ac:dyDescent="0.35">
      <c r="A98" s="1">
        <v>42440.521319444444</v>
      </c>
      <c r="B98" s="1">
        <v>42440.524942129632</v>
      </c>
      <c r="C98" s="1">
        <v>42440.525601851848</v>
      </c>
      <c r="D98" t="s">
        <v>96</v>
      </c>
      <c r="H98">
        <f t="shared" si="3"/>
        <v>5.216666670748964</v>
      </c>
      <c r="I98">
        <f t="shared" si="4"/>
        <v>0.9499999915715307</v>
      </c>
      <c r="J98">
        <f t="shared" si="5"/>
        <v>6.1666666623204947</v>
      </c>
    </row>
    <row r="99" spans="1:10" x14ac:dyDescent="0.35">
      <c r="A99" s="1">
        <v>42440.523125</v>
      </c>
      <c r="B99" s="1">
        <v>42440.525601851848</v>
      </c>
      <c r="C99" s="1">
        <v>42440.525752314818</v>
      </c>
      <c r="D99" t="s">
        <v>97</v>
      </c>
      <c r="E99" t="s">
        <v>95</v>
      </c>
      <c r="H99">
        <f t="shared" si="3"/>
        <v>3.5666666622273624</v>
      </c>
      <c r="I99">
        <f t="shared" si="4"/>
        <v>0.21666667540557683</v>
      </c>
      <c r="J99">
        <f t="shared" si="5"/>
        <v>3.7833333376329392</v>
      </c>
    </row>
    <row r="100" spans="1:10" x14ac:dyDescent="0.35">
      <c r="A100" s="1">
        <v>42440.523206018515</v>
      </c>
      <c r="B100" s="1">
        <v>42440.525752314818</v>
      </c>
      <c r="C100" s="1">
        <v>42440.526458333334</v>
      </c>
      <c r="D100" t="s">
        <v>98</v>
      </c>
      <c r="H100">
        <f t="shared" si="3"/>
        <v>3.6666666751261801</v>
      </c>
      <c r="I100">
        <f t="shared" si="4"/>
        <v>1.0166666633449495</v>
      </c>
      <c r="J100">
        <f t="shared" si="5"/>
        <v>4.6833333384711295</v>
      </c>
    </row>
    <row r="101" spans="1:10" x14ac:dyDescent="0.35">
      <c r="A101" s="1">
        <v>42440.523715277777</v>
      </c>
      <c r="B101" s="1">
        <v>42440.526458333334</v>
      </c>
      <c r="C101" s="1">
        <v>42440.526631944442</v>
      </c>
      <c r="D101" t="s">
        <v>100</v>
      </c>
      <c r="H101">
        <f t="shared" si="3"/>
        <v>3.9500000013504177</v>
      </c>
      <c r="I101">
        <f t="shared" si="4"/>
        <v>0.24999999557621777</v>
      </c>
      <c r="J101">
        <f t="shared" si="5"/>
        <v>4.1999999969266355</v>
      </c>
    </row>
    <row r="102" spans="1:10" x14ac:dyDescent="0.35">
      <c r="A102" s="1">
        <v>42440.524027777778</v>
      </c>
      <c r="B102" s="1">
        <v>42440.526631944442</v>
      </c>
      <c r="C102" s="1">
        <v>42440.52747685185</v>
      </c>
      <c r="D102" t="s">
        <v>99</v>
      </c>
      <c r="H102">
        <f t="shared" si="3"/>
        <v>3.7499999965075403</v>
      </c>
      <c r="I102">
        <f t="shared" si="4"/>
        <v>1.2166666681878269</v>
      </c>
      <c r="J102">
        <f t="shared" si="5"/>
        <v>4.9666666646953672</v>
      </c>
    </row>
    <row r="103" spans="1:10" x14ac:dyDescent="0.35">
      <c r="A103" s="1">
        <v>42440.525046296294</v>
      </c>
      <c r="B103" s="1">
        <v>42440.52747685185</v>
      </c>
      <c r="C103" s="1">
        <v>42440.527800925927</v>
      </c>
      <c r="D103" t="s">
        <v>101</v>
      </c>
      <c r="H103">
        <f t="shared" si="3"/>
        <v>3.5000000009313226</v>
      </c>
      <c r="I103">
        <f t="shared" si="4"/>
        <v>0.4666666709817946</v>
      </c>
      <c r="J103">
        <f t="shared" si="5"/>
        <v>3.9666666719131172</v>
      </c>
    </row>
    <row r="104" spans="1:10" x14ac:dyDescent="0.35">
      <c r="A104" s="1">
        <v>42440.525127314817</v>
      </c>
      <c r="B104" s="1">
        <v>42440.527800925927</v>
      </c>
      <c r="C104" s="1">
        <v>42440.529745370368</v>
      </c>
      <c r="D104" t="s">
        <v>102</v>
      </c>
      <c r="H104">
        <f t="shared" si="3"/>
        <v>3.849999998928979</v>
      </c>
      <c r="I104">
        <f t="shared" si="4"/>
        <v>2.7999999944586307</v>
      </c>
      <c r="J104">
        <f t="shared" si="5"/>
        <v>6.6499999933876097</v>
      </c>
    </row>
    <row r="105" spans="1:10" x14ac:dyDescent="0.35">
      <c r="A105" s="1">
        <v>42440.525555555556</v>
      </c>
      <c r="B105" s="1">
        <v>42440.529745370368</v>
      </c>
      <c r="C105" s="1">
        <v>42440.531458333331</v>
      </c>
      <c r="D105" t="s">
        <v>103</v>
      </c>
      <c r="H105">
        <f t="shared" si="3"/>
        <v>6.033333329251036</v>
      </c>
      <c r="I105">
        <f t="shared" si="4"/>
        <v>2.4666666670236737</v>
      </c>
      <c r="J105">
        <f t="shared" si="5"/>
        <v>8.4999999962747097</v>
      </c>
    </row>
    <row r="106" spans="1:10" x14ac:dyDescent="0.35">
      <c r="A106" s="1">
        <v>42440.525960648149</v>
      </c>
      <c r="B106" s="1">
        <v>42440.531458333331</v>
      </c>
      <c r="C106" s="1">
        <v>42440.53197916667</v>
      </c>
      <c r="D106" t="s">
        <v>105</v>
      </c>
      <c r="H106">
        <f t="shared" si="3"/>
        <v>7.9166666627861559</v>
      </c>
      <c r="I106">
        <f t="shared" si="4"/>
        <v>0.75000000768341124</v>
      </c>
      <c r="J106">
        <f t="shared" si="5"/>
        <v>8.6666666704695672</v>
      </c>
    </row>
    <row r="107" spans="1:10" x14ac:dyDescent="0.35">
      <c r="A107" s="1">
        <v>42440.526597222219</v>
      </c>
      <c r="B107" s="1">
        <v>42440.53197916667</v>
      </c>
      <c r="C107" s="1">
        <v>42440.533703703702</v>
      </c>
      <c r="D107" t="s">
        <v>104</v>
      </c>
      <c r="H107">
        <f t="shared" si="3"/>
        <v>7.7500000095460564</v>
      </c>
      <c r="I107">
        <f t="shared" si="4"/>
        <v>2.4833333271089941</v>
      </c>
      <c r="J107">
        <f t="shared" si="5"/>
        <v>10.233333336655051</v>
      </c>
    </row>
    <row r="108" spans="1:10" x14ac:dyDescent="0.35">
      <c r="A108" s="1">
        <v>42440.526921296296</v>
      </c>
      <c r="B108" s="1">
        <v>42440.533703703702</v>
      </c>
      <c r="C108" s="1">
        <v>42440.533935185187</v>
      </c>
      <c r="D108" t="s">
        <v>106</v>
      </c>
      <c r="H108">
        <f t="shared" si="3"/>
        <v>9.7666666656732559</v>
      </c>
      <c r="I108">
        <f t="shared" si="4"/>
        <v>0.33333333791233599</v>
      </c>
      <c r="J108">
        <f t="shared" si="5"/>
        <v>10.100000003585592</v>
      </c>
    </row>
    <row r="109" spans="1:10" x14ac:dyDescent="0.35">
      <c r="A109" s="1">
        <v>42440.528310185182</v>
      </c>
      <c r="B109" s="1">
        <v>42440.533935185187</v>
      </c>
      <c r="C109" s="1">
        <v>42440.535150462965</v>
      </c>
      <c r="D109" t="s">
        <v>107</v>
      </c>
      <c r="H109">
        <f t="shared" si="3"/>
        <v>8.1000000075437129</v>
      </c>
      <c r="I109">
        <f t="shared" si="4"/>
        <v>1.7500000004656613</v>
      </c>
      <c r="J109">
        <f t="shared" si="5"/>
        <v>9.8500000080093741</v>
      </c>
    </row>
    <row r="110" spans="1:10" x14ac:dyDescent="0.35">
      <c r="A110" s="1">
        <v>42440.530613425923</v>
      </c>
      <c r="B110" s="1">
        <v>42440.535150462965</v>
      </c>
      <c r="C110" s="1">
        <v>42440.536099537036</v>
      </c>
      <c r="D110" t="s">
        <v>108</v>
      </c>
      <c r="H110">
        <f>(B110-A110)*24*60</f>
        <v>6.5333333413582295</v>
      </c>
      <c r="I110">
        <f>(C110-B110)*24*60</f>
        <v>1.3666666613426059</v>
      </c>
      <c r="J110">
        <f t="shared" ref="J110:J134" si="6">I110+H110</f>
        <v>7.9000000027008355</v>
      </c>
    </row>
    <row r="111" spans="1:10" x14ac:dyDescent="0.35">
      <c r="A111" s="1">
        <v>42440.530856481484</v>
      </c>
      <c r="B111" s="1">
        <v>42440.536099537036</v>
      </c>
      <c r="C111" s="1">
        <v>42440.536921296298</v>
      </c>
      <c r="D111" t="s">
        <v>114</v>
      </c>
      <c r="H111">
        <f t="shared" ref="H111:H134" si="7">(B111-A111)*24*60</f>
        <v>7.5499999942258</v>
      </c>
      <c r="I111">
        <f t="shared" ref="I111:I134" si="8">(C111-B111)*24*60</f>
        <v>1.183333337539807</v>
      </c>
      <c r="J111">
        <f t="shared" si="6"/>
        <v>8.733333331765607</v>
      </c>
    </row>
    <row r="112" spans="1:10" x14ac:dyDescent="0.35">
      <c r="A112" s="1">
        <v>42440.530949074076</v>
      </c>
      <c r="B112" s="1">
        <v>42440.536921296298</v>
      </c>
      <c r="C112" s="1">
        <v>42440.538437499999</v>
      </c>
      <c r="D112" t="s">
        <v>109</v>
      </c>
      <c r="H112">
        <f t="shared" si="7"/>
        <v>8.5999999986961484</v>
      </c>
      <c r="I112">
        <f t="shared" si="8"/>
        <v>2.183333330322057</v>
      </c>
      <c r="J112">
        <f t="shared" si="6"/>
        <v>10.783333329018205</v>
      </c>
    </row>
    <row r="113" spans="1:10" x14ac:dyDescent="0.35">
      <c r="A113" s="1">
        <v>42440.531064814815</v>
      </c>
      <c r="B113" s="1">
        <v>42440.538437499999</v>
      </c>
      <c r="C113" s="1">
        <v>42440.54</v>
      </c>
      <c r="D113" t="s">
        <v>111</v>
      </c>
      <c r="H113">
        <f t="shared" si="7"/>
        <v>10.616666665300727</v>
      </c>
      <c r="I113">
        <f t="shared" si="8"/>
        <v>2.2500000020954758</v>
      </c>
      <c r="J113">
        <f t="shared" si="6"/>
        <v>12.866666667396203</v>
      </c>
    </row>
    <row r="114" spans="1:10" x14ac:dyDescent="0.35">
      <c r="A114" s="1">
        <v>42440.532314814816</v>
      </c>
      <c r="B114" s="1">
        <v>42440.54</v>
      </c>
      <c r="C114" s="1">
        <v>42440.541481481479</v>
      </c>
      <c r="D114" t="s">
        <v>110</v>
      </c>
      <c r="H114">
        <f t="shared" si="7"/>
        <v>11.066666665719822</v>
      </c>
      <c r="I114">
        <f t="shared" si="8"/>
        <v>2.1333333291113377</v>
      </c>
      <c r="J114">
        <f t="shared" si="6"/>
        <v>13.19999999483116</v>
      </c>
    </row>
    <row r="115" spans="1:10" x14ac:dyDescent="0.35">
      <c r="A115" s="1">
        <v>42440.533275462964</v>
      </c>
      <c r="B115" s="1">
        <v>42440.541481481479</v>
      </c>
      <c r="C115" s="1">
        <v>42440.542719907404</v>
      </c>
      <c r="D115" t="s">
        <v>112</v>
      </c>
      <c r="H115">
        <f t="shared" si="7"/>
        <v>11.816666662925854</v>
      </c>
      <c r="I115">
        <f t="shared" si="8"/>
        <v>1.7833333311136812</v>
      </c>
      <c r="J115">
        <f t="shared" si="6"/>
        <v>13.599999994039536</v>
      </c>
    </row>
    <row r="116" spans="1:10" x14ac:dyDescent="0.35">
      <c r="A116" s="1">
        <v>42440.533460648148</v>
      </c>
      <c r="B116" s="1">
        <v>42440.542719907404</v>
      </c>
      <c r="C116" s="1">
        <v>42440.543321759258</v>
      </c>
      <c r="D116" t="s">
        <v>113</v>
      </c>
      <c r="H116">
        <f t="shared" si="7"/>
        <v>13.333333327900618</v>
      </c>
      <c r="I116">
        <f t="shared" si="8"/>
        <v>0.86666667019017041</v>
      </c>
      <c r="J116">
        <f t="shared" si="6"/>
        <v>14.199999998090789</v>
      </c>
    </row>
    <row r="117" spans="1:10" x14ac:dyDescent="0.35">
      <c r="A117" s="1">
        <v>42440.534699074073</v>
      </c>
      <c r="B117" s="1">
        <v>42440.543321759258</v>
      </c>
      <c r="C117" s="1">
        <v>42440.543541666666</v>
      </c>
      <c r="D117" t="s">
        <v>115</v>
      </c>
      <c r="H117">
        <f t="shared" si="7"/>
        <v>12.416666666977108</v>
      </c>
      <c r="I117">
        <f t="shared" si="8"/>
        <v>0.31666666734963655</v>
      </c>
      <c r="J117">
        <f t="shared" si="6"/>
        <v>12.733333334326744</v>
      </c>
    </row>
    <row r="118" spans="1:10" x14ac:dyDescent="0.35">
      <c r="A118" s="1">
        <v>42440.535034722219</v>
      </c>
      <c r="B118" s="1">
        <v>42440.543541666666</v>
      </c>
      <c r="C118" s="1">
        <v>42440.543981481482</v>
      </c>
      <c r="D118" t="s">
        <v>118</v>
      </c>
      <c r="H118">
        <f t="shared" si="7"/>
        <v>12.250000003259629</v>
      </c>
      <c r="I118">
        <f t="shared" si="8"/>
        <v>0.63333333469927311</v>
      </c>
      <c r="J118">
        <f t="shared" si="6"/>
        <v>12.883333337958902</v>
      </c>
    </row>
    <row r="119" spans="1:10" x14ac:dyDescent="0.35">
      <c r="A119" s="1">
        <v>42440.535891203705</v>
      </c>
      <c r="B119" s="1">
        <v>42440.543981481482</v>
      </c>
      <c r="C119" s="1">
        <v>42440.544895833336</v>
      </c>
      <c r="D119" t="s">
        <v>116</v>
      </c>
      <c r="H119">
        <f t="shared" si="7"/>
        <v>11.649999999208376</v>
      </c>
      <c r="I119">
        <f t="shared" si="8"/>
        <v>1.3166666706092656</v>
      </c>
      <c r="J119">
        <f t="shared" si="6"/>
        <v>12.966666669817641</v>
      </c>
    </row>
    <row r="120" spans="1:10" x14ac:dyDescent="0.35">
      <c r="A120" s="1">
        <v>42440.536354166667</v>
      </c>
      <c r="B120" s="1">
        <v>42440.544895833336</v>
      </c>
      <c r="C120" s="1">
        <v>42440.546458333331</v>
      </c>
      <c r="D120" t="s">
        <v>117</v>
      </c>
      <c r="H120">
        <f t="shared" si="7"/>
        <v>12.300000004470348</v>
      </c>
      <c r="I120">
        <f t="shared" si="8"/>
        <v>2.2499999916180968</v>
      </c>
      <c r="J120">
        <f t="shared" si="6"/>
        <v>14.549999996088445</v>
      </c>
    </row>
    <row r="121" spans="1:10" x14ac:dyDescent="0.35">
      <c r="A121" s="1">
        <v>42440.537083333336</v>
      </c>
      <c r="B121" s="1">
        <v>42440.546458333331</v>
      </c>
      <c r="C121" s="1">
        <v>42440.548159722224</v>
      </c>
      <c r="D121" t="s">
        <v>126</v>
      </c>
      <c r="H121">
        <f t="shared" si="7"/>
        <v>13.499999991618097</v>
      </c>
      <c r="I121">
        <f t="shared" si="8"/>
        <v>2.4500000069383532</v>
      </c>
      <c r="J121">
        <f t="shared" si="6"/>
        <v>15.94999999855645</v>
      </c>
    </row>
    <row r="122" spans="1:10" x14ac:dyDescent="0.35">
      <c r="A122" s="1">
        <v>42440.538495370369</v>
      </c>
      <c r="B122" s="1">
        <v>42440.548159722224</v>
      </c>
      <c r="C122" s="1">
        <v>42440.549201388887</v>
      </c>
      <c r="D122" t="s">
        <v>119</v>
      </c>
      <c r="H122">
        <f t="shared" si="7"/>
        <v>13.916666671866551</v>
      </c>
      <c r="I122">
        <f t="shared" si="8"/>
        <v>1.4999999944120646</v>
      </c>
      <c r="J122">
        <f t="shared" si="6"/>
        <v>15.416666666278616</v>
      </c>
    </row>
    <row r="123" spans="1:10" x14ac:dyDescent="0.35">
      <c r="A123" s="1">
        <v>42440.541388888887</v>
      </c>
      <c r="B123" s="1">
        <v>42440.549201388887</v>
      </c>
      <c r="C123" s="1">
        <v>42440.550023148149</v>
      </c>
      <c r="D123" t="s">
        <v>120</v>
      </c>
      <c r="H123">
        <f t="shared" si="7"/>
        <v>11.25</v>
      </c>
      <c r="I123">
        <f t="shared" si="8"/>
        <v>1.183333337539807</v>
      </c>
      <c r="J123">
        <f t="shared" si="6"/>
        <v>12.433333337539807</v>
      </c>
    </row>
    <row r="124" spans="1:10" x14ac:dyDescent="0.35">
      <c r="A124" s="1">
        <v>42440.541620370372</v>
      </c>
      <c r="B124" s="1">
        <v>42440.550023148149</v>
      </c>
      <c r="C124" s="1">
        <v>42440.551666666666</v>
      </c>
      <c r="D124" t="s">
        <v>121</v>
      </c>
      <c r="H124">
        <f t="shared" si="7"/>
        <v>12.099999999627471</v>
      </c>
      <c r="I124">
        <f t="shared" si="8"/>
        <v>2.366666664602235</v>
      </c>
      <c r="J124">
        <f t="shared" si="6"/>
        <v>14.466666664229706</v>
      </c>
    </row>
    <row r="125" spans="1:10" x14ac:dyDescent="0.35">
      <c r="A125" s="1">
        <v>42440.542233796295</v>
      </c>
      <c r="B125" s="1">
        <v>42440.551666666666</v>
      </c>
      <c r="C125" s="1">
        <v>42440.551921296297</v>
      </c>
      <c r="D125" t="s">
        <v>122</v>
      </c>
      <c r="H125">
        <f t="shared" si="7"/>
        <v>13.583333333954215</v>
      </c>
      <c r="I125">
        <f t="shared" si="8"/>
        <v>0.3666666685603559</v>
      </c>
      <c r="J125">
        <f t="shared" si="6"/>
        <v>13.950000002514571</v>
      </c>
    </row>
    <row r="126" spans="1:10" x14ac:dyDescent="0.35">
      <c r="A126" s="1">
        <v>42440.54378472222</v>
      </c>
      <c r="B126" s="1">
        <v>42440.551921296297</v>
      </c>
      <c r="C126" s="1">
        <v>42440.553865740738</v>
      </c>
      <c r="D126" t="s">
        <v>123</v>
      </c>
      <c r="H126">
        <f t="shared" si="7"/>
        <v>11.716666670981795</v>
      </c>
      <c r="I126">
        <f t="shared" si="8"/>
        <v>2.7999999944586307</v>
      </c>
      <c r="J126">
        <f t="shared" si="6"/>
        <v>14.516666665440425</v>
      </c>
    </row>
    <row r="127" spans="1:10" x14ac:dyDescent="0.35">
      <c r="A127" s="1">
        <v>42440.544178240743</v>
      </c>
      <c r="B127" s="1">
        <v>42440.553865740738</v>
      </c>
      <c r="C127" s="1">
        <v>42440.554826388892</v>
      </c>
      <c r="D127" t="s">
        <v>124</v>
      </c>
      <c r="H127">
        <f t="shared" si="7"/>
        <v>13.949999992037192</v>
      </c>
      <c r="I127">
        <f t="shared" si="8"/>
        <v>1.3833333423826844</v>
      </c>
      <c r="J127">
        <f t="shared" si="6"/>
        <v>15.333333334419876</v>
      </c>
    </row>
    <row r="128" spans="1:10" x14ac:dyDescent="0.35">
      <c r="A128" s="1">
        <v>42440.544791666667</v>
      </c>
      <c r="B128" s="1">
        <v>42440.554826388892</v>
      </c>
      <c r="C128" s="1">
        <v>42440.556250000001</v>
      </c>
      <c r="D128" t="s">
        <v>125</v>
      </c>
      <c r="H128">
        <f t="shared" si="7"/>
        <v>14.450000004144385</v>
      </c>
      <c r="I128">
        <f t="shared" si="8"/>
        <v>2.0499999972525984</v>
      </c>
      <c r="J128">
        <f t="shared" si="6"/>
        <v>16.500000001396984</v>
      </c>
    </row>
    <row r="129" spans="1:10" x14ac:dyDescent="0.35">
      <c r="A129" s="1">
        <v>42440.54650462963</v>
      </c>
      <c r="B129" s="1">
        <v>42440.556250000001</v>
      </c>
      <c r="C129" s="1">
        <v>42440.556666666664</v>
      </c>
      <c r="D129" t="s">
        <v>127</v>
      </c>
      <c r="H129">
        <f t="shared" si="7"/>
        <v>14.03333333437331</v>
      </c>
      <c r="I129">
        <f t="shared" si="8"/>
        <v>0.59999999357387424</v>
      </c>
      <c r="J129">
        <f t="shared" si="6"/>
        <v>14.633333327947184</v>
      </c>
    </row>
    <row r="130" spans="1:10" x14ac:dyDescent="0.35">
      <c r="A130" s="1">
        <v>42440.546678240738</v>
      </c>
      <c r="B130" s="1">
        <v>42440.556666666664</v>
      </c>
      <c r="C130" s="1">
        <v>42440.557129629633</v>
      </c>
      <c r="D130" t="s">
        <v>128</v>
      </c>
      <c r="H130">
        <f t="shared" si="7"/>
        <v>14.383333332370967</v>
      </c>
      <c r="I130">
        <f t="shared" si="8"/>
        <v>0.66666667582467198</v>
      </c>
      <c r="J130">
        <f t="shared" si="6"/>
        <v>15.050000008195639</v>
      </c>
    </row>
    <row r="131" spans="1:10" x14ac:dyDescent="0.35">
      <c r="A131" s="1">
        <v>42440.549293981479</v>
      </c>
      <c r="B131" s="1">
        <v>42440.557129629633</v>
      </c>
      <c r="C131" s="1">
        <v>42440.557569444441</v>
      </c>
      <c r="D131" t="s">
        <v>129</v>
      </c>
      <c r="H131">
        <f t="shared" si="7"/>
        <v>11.283333341125399</v>
      </c>
      <c r="I131">
        <f t="shared" si="8"/>
        <v>0.63333332422189415</v>
      </c>
      <c r="J131">
        <f t="shared" si="6"/>
        <v>11.916666665347293</v>
      </c>
    </row>
    <row r="132" spans="1:10" x14ac:dyDescent="0.35">
      <c r="A132" s="1">
        <v>42440.549664351849</v>
      </c>
      <c r="B132" s="1">
        <v>42440.557569444441</v>
      </c>
      <c r="C132" s="1">
        <v>42440.557974537034</v>
      </c>
      <c r="D132" t="s">
        <v>130</v>
      </c>
      <c r="H132">
        <f t="shared" si="7"/>
        <v>11.383333333069459</v>
      </c>
      <c r="I132">
        <f t="shared" si="8"/>
        <v>0.58333333348855376</v>
      </c>
      <c r="J132">
        <f t="shared" si="6"/>
        <v>11.966666666558012</v>
      </c>
    </row>
    <row r="133" spans="1:10" x14ac:dyDescent="0.35">
      <c r="A133" s="1">
        <v>42440.550787037035</v>
      </c>
      <c r="B133" s="1">
        <v>42440.557974537034</v>
      </c>
      <c r="C133" s="1">
        <v>42440.559305555558</v>
      </c>
      <c r="D133" t="s">
        <v>135</v>
      </c>
      <c r="H133">
        <f t="shared" si="7"/>
        <v>10.34999999916181</v>
      </c>
      <c r="I133">
        <f t="shared" si="8"/>
        <v>1.9166666746605188</v>
      </c>
      <c r="J133">
        <f t="shared" si="6"/>
        <v>12.266666673822328</v>
      </c>
    </row>
    <row r="134" spans="1:10" x14ac:dyDescent="0.35">
      <c r="A134" s="1">
        <v>42440.552175925928</v>
      </c>
      <c r="B134" s="1">
        <v>42440.559305555558</v>
      </c>
      <c r="C134" s="1">
        <v>42440.560173611113</v>
      </c>
      <c r="D134" t="s">
        <v>131</v>
      </c>
      <c r="H134">
        <f t="shared" si="7"/>
        <v>10.26666666730307</v>
      </c>
      <c r="I134">
        <f t="shared" si="8"/>
        <v>1.2499999988358468</v>
      </c>
      <c r="J134">
        <f t="shared" si="6"/>
        <v>11.516666666138917</v>
      </c>
    </row>
    <row r="135" spans="1:10" x14ac:dyDescent="0.35">
      <c r="A135" s="1">
        <v>42440.553194444445</v>
      </c>
      <c r="B135" s="1">
        <v>42440.560173611113</v>
      </c>
      <c r="C135" s="1">
        <v>42440.560393518521</v>
      </c>
      <c r="D135" t="s">
        <v>136</v>
      </c>
      <c r="H135">
        <f t="shared" ref="H135:H138" si="9">(B135-A135)*24*60</f>
        <v>10.050000002374873</v>
      </c>
      <c r="I135">
        <f t="shared" ref="I135:I138" si="10">(C135-B135)*24*60</f>
        <v>0.31666666734963655</v>
      </c>
      <c r="J135">
        <f t="shared" ref="J135:J137" si="11">I135+H135</f>
        <v>10.366666669724509</v>
      </c>
    </row>
    <row r="136" spans="1:10" x14ac:dyDescent="0.35">
      <c r="A136" s="1">
        <v>42440.55332175926</v>
      </c>
      <c r="B136" s="1">
        <v>42440.560393518521</v>
      </c>
      <c r="C136" s="1">
        <v>42440.561516203707</v>
      </c>
      <c r="D136" t="s">
        <v>139</v>
      </c>
      <c r="H136">
        <f t="shared" si="9"/>
        <v>10.183333335444331</v>
      </c>
      <c r="I136">
        <f t="shared" si="10"/>
        <v>1.6166666673962027</v>
      </c>
      <c r="J136">
        <f t="shared" si="11"/>
        <v>11.800000002840534</v>
      </c>
    </row>
    <row r="137" spans="1:10" x14ac:dyDescent="0.35">
      <c r="A137" s="1">
        <v>42440.553553240738</v>
      </c>
      <c r="B137" s="1">
        <v>42440.561516203707</v>
      </c>
      <c r="C137" s="1">
        <v>42440.562708333331</v>
      </c>
      <c r="D137" t="s">
        <v>132</v>
      </c>
      <c r="H137">
        <f t="shared" si="9"/>
        <v>11.466666675405577</v>
      </c>
      <c r="I137">
        <f t="shared" si="10"/>
        <v>1.7166666593402624</v>
      </c>
      <c r="J137">
        <f t="shared" si="11"/>
        <v>13.183333334745839</v>
      </c>
    </row>
    <row r="138" spans="1:10" x14ac:dyDescent="0.35">
      <c r="A138" s="1">
        <v>42440.554618055554</v>
      </c>
      <c r="B138" s="1">
        <v>42440.562708333331</v>
      </c>
      <c r="C138" s="1">
        <v>42440.563043981485</v>
      </c>
      <c r="D138" t="s">
        <v>143</v>
      </c>
      <c r="H138">
        <f t="shared" si="9"/>
        <v>11.649999999208376</v>
      </c>
      <c r="I138">
        <f t="shared" si="10"/>
        <v>0.48333334154449403</v>
      </c>
      <c r="J138">
        <f t="shared" ref="J138:J144" si="12">I138+H138</f>
        <v>12.13333334075287</v>
      </c>
    </row>
    <row r="139" spans="1:10" x14ac:dyDescent="0.35">
      <c r="A139" s="1">
        <v>42440.555300925924</v>
      </c>
      <c r="B139" s="1">
        <v>42440.563043981485</v>
      </c>
      <c r="C139" s="1">
        <v>42440.564768518518</v>
      </c>
      <c r="D139" t="s">
        <v>133</v>
      </c>
      <c r="H139">
        <f t="shared" ref="H139:H144" si="13">(B139-A139)*24*60</f>
        <v>11.15000000805594</v>
      </c>
      <c r="I139">
        <f t="shared" ref="I139:I144" si="14">(C139-B139)*24*60</f>
        <v>2.4833333271089941</v>
      </c>
      <c r="J139">
        <f t="shared" si="12"/>
        <v>13.633333335164934</v>
      </c>
    </row>
    <row r="140" spans="1:10" x14ac:dyDescent="0.35">
      <c r="A140" s="1">
        <v>42440.555405092593</v>
      </c>
      <c r="B140" s="1">
        <v>42440.564768518518</v>
      </c>
      <c r="C140" s="1">
        <v>42440.565775462965</v>
      </c>
      <c r="D140" t="s">
        <v>134</v>
      </c>
      <c r="H140">
        <f t="shared" si="13"/>
        <v>13.483333331532776</v>
      </c>
      <c r="I140">
        <f t="shared" si="14"/>
        <v>1.4500000036787242</v>
      </c>
      <c r="J140">
        <f t="shared" si="12"/>
        <v>14.933333335211501</v>
      </c>
    </row>
    <row r="141" spans="1:10" x14ac:dyDescent="0.35">
      <c r="A141" s="1">
        <v>42440.55908564815</v>
      </c>
      <c r="B141" s="1">
        <v>42440.565775462965</v>
      </c>
      <c r="C141" s="1">
        <v>42440.567361111112</v>
      </c>
      <c r="D141" t="s">
        <v>137</v>
      </c>
      <c r="H141">
        <f t="shared" si="13"/>
        <v>9.6333333326037973</v>
      </c>
      <c r="I141">
        <f t="shared" si="14"/>
        <v>2.2833333327434957</v>
      </c>
      <c r="J141">
        <f t="shared" si="12"/>
        <v>11.916666665347293</v>
      </c>
    </row>
    <row r="142" spans="1:10" x14ac:dyDescent="0.35">
      <c r="A142" s="1">
        <v>42440.560208333336</v>
      </c>
      <c r="B142" s="1">
        <v>42440.567361111112</v>
      </c>
      <c r="C142" s="1">
        <v>42440.568101851852</v>
      </c>
      <c r="D142" t="s">
        <v>138</v>
      </c>
      <c r="H142">
        <f t="shared" si="13"/>
        <v>10.29999999795109</v>
      </c>
      <c r="I142">
        <f t="shared" si="14"/>
        <v>1.0666666645556688</v>
      </c>
      <c r="J142">
        <f t="shared" si="12"/>
        <v>11.366666662506759</v>
      </c>
    </row>
    <row r="143" spans="1:10" x14ac:dyDescent="0.35">
      <c r="A143" s="1">
        <v>42440.561192129629</v>
      </c>
      <c r="B143" s="1">
        <v>42440.568101851852</v>
      </c>
      <c r="C143" s="1">
        <v>42440.568912037037</v>
      </c>
      <c r="D143" t="s">
        <v>140</v>
      </c>
      <c r="H143">
        <f t="shared" si="13"/>
        <v>9.9499999999534339</v>
      </c>
      <c r="I143">
        <f t="shared" si="14"/>
        <v>1.1666666669771075</v>
      </c>
      <c r="J143">
        <f t="shared" si="12"/>
        <v>11.116666666930541</v>
      </c>
    </row>
    <row r="144" spans="1:10" x14ac:dyDescent="0.35">
      <c r="A144" s="1">
        <v>42440.561319444445</v>
      </c>
      <c r="B144" s="1">
        <v>42440.568912037037</v>
      </c>
      <c r="C144" s="1">
        <v>42440.570520833331</v>
      </c>
      <c r="D144" t="s">
        <v>141</v>
      </c>
      <c r="H144">
        <f t="shared" si="13"/>
        <v>10.933333332650363</v>
      </c>
      <c r="I144">
        <f t="shared" si="14"/>
        <v>2.3166666633915156</v>
      </c>
      <c r="J144">
        <f t="shared" si="12"/>
        <v>13.249999996041879</v>
      </c>
    </row>
    <row r="145" spans="1:10" x14ac:dyDescent="0.35">
      <c r="A145" s="1">
        <v>42440.561805555553</v>
      </c>
      <c r="B145" s="1">
        <v>42440.570520833331</v>
      </c>
      <c r="C145" s="1">
        <v>42440.570868055554</v>
      </c>
      <c r="D145" t="s">
        <v>142</v>
      </c>
      <c r="H145">
        <f t="shared" ref="H145:H153" si="15">(B145-A145)*24*60</f>
        <v>12.550000000046566</v>
      </c>
      <c r="I145">
        <f t="shared" ref="I145:I153" si="16">(C145-B145)*24*60</f>
        <v>0.50000000162981451</v>
      </c>
      <c r="J145">
        <f t="shared" ref="J145:J153" si="17">I145+H145</f>
        <v>13.050000001676381</v>
      </c>
    </row>
    <row r="146" spans="1:10" x14ac:dyDescent="0.35">
      <c r="A146" s="1">
        <v>42440.562974537039</v>
      </c>
      <c r="B146" s="1">
        <v>42440.570868055554</v>
      </c>
      <c r="C146" s="1">
        <v>42440.571400462963</v>
      </c>
      <c r="D146" t="s">
        <v>144</v>
      </c>
      <c r="H146">
        <f t="shared" si="15"/>
        <v>11.366666662506759</v>
      </c>
      <c r="I146">
        <f t="shared" si="16"/>
        <v>0.76666666776873171</v>
      </c>
      <c r="J146">
        <f t="shared" si="17"/>
        <v>12.133333330275491</v>
      </c>
    </row>
    <row r="147" spans="1:10" x14ac:dyDescent="0.35">
      <c r="A147" s="1">
        <v>42440.563275462962</v>
      </c>
      <c r="B147" s="1">
        <v>42440.571400462963</v>
      </c>
      <c r="C147" s="1">
        <v>42440.571400462963</v>
      </c>
      <c r="D147" t="s">
        <v>145</v>
      </c>
      <c r="H147">
        <f t="shared" si="15"/>
        <v>11.700000000419095</v>
      </c>
      <c r="I147">
        <f t="shared" si="16"/>
        <v>0</v>
      </c>
      <c r="J147">
        <f t="shared" si="17"/>
        <v>11.700000000419095</v>
      </c>
    </row>
    <row r="148" spans="1:10" x14ac:dyDescent="0.35">
      <c r="A148" s="1">
        <v>42440.56391203704</v>
      </c>
      <c r="B148" s="1">
        <v>42440.571400462963</v>
      </c>
      <c r="C148" s="1">
        <v>42440.573101851849</v>
      </c>
      <c r="D148" t="s">
        <v>147</v>
      </c>
      <c r="H148">
        <f t="shared" si="15"/>
        <v>10.783333329018205</v>
      </c>
      <c r="I148">
        <f t="shared" si="16"/>
        <v>2.4499999964609742</v>
      </c>
      <c r="J148">
        <f t="shared" si="17"/>
        <v>13.23333332547918</v>
      </c>
    </row>
    <row r="149" spans="1:10" x14ac:dyDescent="0.35">
      <c r="A149" s="1">
        <v>42440.565972222219</v>
      </c>
      <c r="B149" s="1">
        <v>42440.573101851849</v>
      </c>
      <c r="C149" s="1">
        <v>42440.573460648149</v>
      </c>
      <c r="D149" t="s">
        <v>146</v>
      </c>
      <c r="H149">
        <f t="shared" si="15"/>
        <v>10.26666666730307</v>
      </c>
      <c r="I149">
        <f t="shared" si="16"/>
        <v>0.51666667219251394</v>
      </c>
      <c r="J149">
        <f t="shared" si="17"/>
        <v>10.783333339495584</v>
      </c>
    </row>
    <row r="150" spans="1:10" x14ac:dyDescent="0.35">
      <c r="A150" s="1">
        <v>42440.567071759258</v>
      </c>
      <c r="B150" s="1">
        <v>42440.573460648149</v>
      </c>
      <c r="C150" s="1">
        <v>42440.574189814812</v>
      </c>
      <c r="D150" t="s">
        <v>148</v>
      </c>
      <c r="H150">
        <f t="shared" si="15"/>
        <v>9.2000000027474016</v>
      </c>
      <c r="I150">
        <f t="shared" si="16"/>
        <v>1.0499999939929694</v>
      </c>
      <c r="J150">
        <f t="shared" si="17"/>
        <v>10.249999996740371</v>
      </c>
    </row>
    <row r="151" spans="1:10" x14ac:dyDescent="0.35">
      <c r="A151" s="1">
        <v>42440.567245370374</v>
      </c>
      <c r="B151" s="1">
        <v>42440.574189814812</v>
      </c>
      <c r="C151" s="1">
        <v>42440.574560185189</v>
      </c>
      <c r="D151" t="s">
        <v>149</v>
      </c>
      <c r="H151">
        <f t="shared" si="15"/>
        <v>9.9999999906867743</v>
      </c>
      <c r="I151">
        <f t="shared" si="16"/>
        <v>0.53333334275521338</v>
      </c>
      <c r="J151">
        <f t="shared" si="17"/>
        <v>10.533333333441988</v>
      </c>
    </row>
    <row r="152" spans="1:10" x14ac:dyDescent="0.35">
      <c r="A152" s="1">
        <v>42440.56826388889</v>
      </c>
      <c r="B152" s="1">
        <v>42440.574560185189</v>
      </c>
      <c r="C152" s="1">
        <v>42440.577025462961</v>
      </c>
      <c r="D152" t="s">
        <v>150</v>
      </c>
      <c r="H152">
        <f t="shared" si="15"/>
        <v>9.066666669677943</v>
      </c>
      <c r="I152">
        <f t="shared" si="16"/>
        <v>3.549999991664663</v>
      </c>
      <c r="J152">
        <f t="shared" si="17"/>
        <v>12.616666661342606</v>
      </c>
    </row>
    <row r="153" spans="1:10" x14ac:dyDescent="0.35">
      <c r="A153" s="1">
        <v>42440.568726851852</v>
      </c>
      <c r="B153" s="1">
        <v>42440.577025462961</v>
      </c>
      <c r="C153" s="1">
        <v>42440.577557870369</v>
      </c>
      <c r="D153" t="s">
        <v>151</v>
      </c>
      <c r="H153">
        <f t="shared" si="15"/>
        <v>11.949999995995313</v>
      </c>
      <c r="I153">
        <f t="shared" si="16"/>
        <v>0.76666666776873171</v>
      </c>
      <c r="J153">
        <f t="shared" si="17"/>
        <v>12.716666663764045</v>
      </c>
    </row>
    <row r="154" spans="1:10" x14ac:dyDescent="0.35">
      <c r="A154" s="1">
        <v>42440.5703587963</v>
      </c>
      <c r="B154" s="1">
        <v>42440.577557870369</v>
      </c>
      <c r="C154" s="1">
        <v>42440.578877314816</v>
      </c>
      <c r="D154" t="s">
        <v>152</v>
      </c>
      <c r="H154">
        <f t="shared" ref="H154:H158" si="18">(B154-A154)*24*60</f>
        <v>10.36666665924713</v>
      </c>
      <c r="I154">
        <f t="shared" ref="I154:I158" si="19">(C154-B154)*24*60</f>
        <v>1.9000000040978193</v>
      </c>
      <c r="J154">
        <f t="shared" ref="J154:J168" si="20">I154+H154</f>
        <v>12.266666663344949</v>
      </c>
    </row>
    <row r="155" spans="1:10" x14ac:dyDescent="0.35">
      <c r="A155" s="1">
        <v>42440.573009259257</v>
      </c>
      <c r="B155" s="1">
        <v>42440.578877314816</v>
      </c>
      <c r="C155" s="1">
        <v>42440.579386574071</v>
      </c>
      <c r="D155" t="s">
        <v>154</v>
      </c>
      <c r="H155">
        <f t="shared" si="18"/>
        <v>8.4500000055413693</v>
      </c>
      <c r="I155">
        <f t="shared" si="19"/>
        <v>0.73333332664333284</v>
      </c>
      <c r="J155">
        <f t="shared" si="20"/>
        <v>9.1833333321847022</v>
      </c>
    </row>
    <row r="156" spans="1:10" x14ac:dyDescent="0.35">
      <c r="A156" s="1">
        <v>42440.573263888888</v>
      </c>
      <c r="B156" s="1">
        <v>42440.579386574071</v>
      </c>
      <c r="C156" s="1">
        <v>42440.579953703702</v>
      </c>
      <c r="D156" t="s">
        <v>153</v>
      </c>
      <c r="H156">
        <f t="shared" si="18"/>
        <v>8.8166666636243463</v>
      </c>
      <c r="I156">
        <f t="shared" si="19"/>
        <v>0.81666666897945106</v>
      </c>
      <c r="J156">
        <f t="shared" si="20"/>
        <v>9.6333333326037973</v>
      </c>
    </row>
    <row r="157" spans="1:10" x14ac:dyDescent="0.35">
      <c r="A157" s="1">
        <v>42440.573981481481</v>
      </c>
      <c r="B157" s="1">
        <v>42440.579953703702</v>
      </c>
      <c r="C157" s="1">
        <v>42440.580347222225</v>
      </c>
      <c r="D157" t="s">
        <v>155</v>
      </c>
      <c r="H157">
        <f t="shared" si="18"/>
        <v>8.5999999986961484</v>
      </c>
      <c r="I157">
        <f t="shared" si="19"/>
        <v>0.56666667340323329</v>
      </c>
      <c r="J157">
        <f t="shared" si="20"/>
        <v>9.1666666720993817</v>
      </c>
    </row>
    <row r="158" spans="1:10" x14ac:dyDescent="0.35">
      <c r="A158" s="1">
        <v>42440.57471064815</v>
      </c>
      <c r="B158" s="1">
        <v>42440.580347222225</v>
      </c>
      <c r="C158" s="1">
        <v>42440.581817129627</v>
      </c>
      <c r="D158" t="s">
        <v>156</v>
      </c>
      <c r="H158">
        <f t="shared" si="18"/>
        <v>8.1166666676290333</v>
      </c>
      <c r="I158">
        <f t="shared" si="19"/>
        <v>2.1166666585486382</v>
      </c>
      <c r="J158">
        <f t="shared" si="20"/>
        <v>10.233333326177672</v>
      </c>
    </row>
    <row r="159" spans="1:10" x14ac:dyDescent="0.35">
      <c r="A159" s="1">
        <v>42440.576562499999</v>
      </c>
      <c r="B159" s="1">
        <v>42440.581817129627</v>
      </c>
      <c r="C159" s="1">
        <v>42440.582152777781</v>
      </c>
      <c r="D159" t="s">
        <v>157</v>
      </c>
      <c r="H159">
        <f t="shared" ref="H159:H165" si="21">(B159-A159)*24*60</f>
        <v>7.5666666647884995</v>
      </c>
      <c r="I159">
        <f t="shared" ref="I159:I165" si="22">(C159-B159)*24*60</f>
        <v>0.48333334154449403</v>
      </c>
      <c r="J159">
        <f t="shared" ref="J159:J165" si="23">I159+H159</f>
        <v>8.0500000063329935</v>
      </c>
    </row>
    <row r="160" spans="1:10" x14ac:dyDescent="0.35">
      <c r="A160" s="1">
        <v>42440.577638888892</v>
      </c>
      <c r="B160" s="1">
        <v>42440.582152777781</v>
      </c>
      <c r="C160" s="1">
        <v>42440.583506944444</v>
      </c>
      <c r="D160" t="s">
        <v>158</v>
      </c>
      <c r="H160">
        <f t="shared" si="21"/>
        <v>6.5000000002328306</v>
      </c>
      <c r="I160">
        <f t="shared" si="22"/>
        <v>1.9499999948311597</v>
      </c>
      <c r="J160">
        <f t="shared" si="23"/>
        <v>8.4499999950639904</v>
      </c>
    </row>
    <row r="161" spans="1:10" x14ac:dyDescent="0.35">
      <c r="A161" s="1">
        <v>42440.577650462961</v>
      </c>
      <c r="B161" s="1">
        <v>42440.583506944444</v>
      </c>
      <c r="C161" s="1">
        <v>42440.586643518516</v>
      </c>
      <c r="D161" t="s">
        <v>163</v>
      </c>
      <c r="H161">
        <f t="shared" si="21"/>
        <v>8.4333333349786699</v>
      </c>
      <c r="I161">
        <f t="shared" si="22"/>
        <v>4.5166666642762721</v>
      </c>
      <c r="J161">
        <f t="shared" si="23"/>
        <v>12.949999999254942</v>
      </c>
    </row>
    <row r="162" spans="1:10" x14ac:dyDescent="0.35">
      <c r="A162" s="1">
        <v>42440.580011574071</v>
      </c>
      <c r="B162" s="1">
        <v>42440.586643518516</v>
      </c>
      <c r="C162" s="1">
        <v>42440.586944444447</v>
      </c>
      <c r="D162" t="s">
        <v>162</v>
      </c>
      <c r="H162">
        <f t="shared" si="21"/>
        <v>9.5500000007450581</v>
      </c>
      <c r="I162">
        <f t="shared" si="22"/>
        <v>0.43333334033377469</v>
      </c>
      <c r="J162">
        <f t="shared" si="23"/>
        <v>9.9833333410788327</v>
      </c>
    </row>
    <row r="163" spans="1:10" x14ac:dyDescent="0.35">
      <c r="A163" s="1">
        <v>42440.580370370371</v>
      </c>
      <c r="B163" s="1">
        <v>42440.586944444447</v>
      </c>
      <c r="C163" s="1">
        <v>42440.587546296294</v>
      </c>
      <c r="D163" t="s">
        <v>159</v>
      </c>
      <c r="H163">
        <f t="shared" si="21"/>
        <v>9.4666666688863188</v>
      </c>
      <c r="I163">
        <f t="shared" si="22"/>
        <v>0.86666665971279144</v>
      </c>
      <c r="J163">
        <f t="shared" si="23"/>
        <v>10.33333332859911</v>
      </c>
    </row>
    <row r="164" spans="1:10" x14ac:dyDescent="0.35">
      <c r="A164" s="1">
        <v>42440.580370370371</v>
      </c>
      <c r="B164" s="1">
        <v>42440.587546296294</v>
      </c>
      <c r="C164" s="1">
        <v>42440.587766203702</v>
      </c>
      <c r="D164" t="s">
        <v>160</v>
      </c>
      <c r="H164">
        <f t="shared" si="21"/>
        <v>10.33333332859911</v>
      </c>
      <c r="I164">
        <f t="shared" si="22"/>
        <v>0.31666666734963655</v>
      </c>
      <c r="J164">
        <f t="shared" si="23"/>
        <v>10.649999995948747</v>
      </c>
    </row>
    <row r="165" spans="1:10" x14ac:dyDescent="0.35">
      <c r="A165" s="1">
        <v>42440.581875000003</v>
      </c>
      <c r="B165" s="1">
        <v>42440.587766203702</v>
      </c>
      <c r="C165" s="1">
        <v>42440.588506944441</v>
      </c>
      <c r="D165" t="s">
        <v>161</v>
      </c>
      <c r="H165">
        <f t="shared" si="21"/>
        <v>8.4833333257120103</v>
      </c>
      <c r="I165">
        <f t="shared" si="22"/>
        <v>1.0666666645556688</v>
      </c>
      <c r="J165">
        <f t="shared" si="23"/>
        <v>9.5499999902676791</v>
      </c>
    </row>
    <row r="166" spans="1:10" x14ac:dyDescent="0.35">
      <c r="H166">
        <f t="shared" ref="H166:I169" si="24">(B176-A176)*24*60</f>
        <v>-61114442.416666672</v>
      </c>
      <c r="I166">
        <f t="shared" si="24"/>
        <v>0</v>
      </c>
      <c r="J166">
        <f t="shared" si="20"/>
        <v>-61114442.416666672</v>
      </c>
    </row>
    <row r="167" spans="1:10" x14ac:dyDescent="0.35">
      <c r="H167">
        <f t="shared" si="24"/>
        <v>-61114442.716666669</v>
      </c>
      <c r="I167">
        <f t="shared" si="24"/>
        <v>0</v>
      </c>
      <c r="J167">
        <f t="shared" si="20"/>
        <v>-61114442.716666669</v>
      </c>
    </row>
    <row r="168" spans="1:10" x14ac:dyDescent="0.35">
      <c r="H168">
        <f t="shared" si="24"/>
        <v>-61114443.149999999</v>
      </c>
      <c r="I168">
        <f t="shared" si="24"/>
        <v>0</v>
      </c>
      <c r="J168">
        <f t="shared" si="20"/>
        <v>-61114443.149999999</v>
      </c>
    </row>
    <row r="169" spans="1:10" x14ac:dyDescent="0.35">
      <c r="H169">
        <f t="shared" si="24"/>
        <v>-61114443.466666669</v>
      </c>
      <c r="I169">
        <f t="shared" si="24"/>
        <v>0</v>
      </c>
      <c r="J169">
        <f t="shared" ref="J169:J172" si="25">I169+H169</f>
        <v>-61114443.466666669</v>
      </c>
    </row>
    <row r="170" spans="1:10" x14ac:dyDescent="0.35">
      <c r="H170">
        <f t="shared" ref="H170:H172" si="26">(B170-A170)*24*60</f>
        <v>0</v>
      </c>
      <c r="I170">
        <f t="shared" ref="I170:I172" si="27">(C170-B170)*24*60</f>
        <v>0</v>
      </c>
      <c r="J170">
        <f t="shared" si="25"/>
        <v>0</v>
      </c>
    </row>
    <row r="171" spans="1:10" x14ac:dyDescent="0.35">
      <c r="H171">
        <f t="shared" si="26"/>
        <v>0</v>
      </c>
      <c r="I171">
        <f t="shared" si="27"/>
        <v>0</v>
      </c>
      <c r="J171">
        <f t="shared" si="25"/>
        <v>0</v>
      </c>
    </row>
    <row r="172" spans="1:10" x14ac:dyDescent="0.35">
      <c r="H172">
        <f t="shared" si="26"/>
        <v>0</v>
      </c>
      <c r="I172">
        <f t="shared" si="27"/>
        <v>0</v>
      </c>
      <c r="J172">
        <f t="shared" si="25"/>
        <v>0</v>
      </c>
    </row>
    <row r="176" spans="1:10" x14ac:dyDescent="0.35">
      <c r="A176" s="1">
        <v>42440.585011574076</v>
      </c>
      <c r="D176" t="s">
        <v>164</v>
      </c>
    </row>
    <row r="177" spans="1:4" x14ac:dyDescent="0.35">
      <c r="A177" s="1">
        <v>42440.585219907407</v>
      </c>
      <c r="D177" t="s">
        <v>165</v>
      </c>
    </row>
    <row r="178" spans="1:4" x14ac:dyDescent="0.35">
      <c r="A178" s="1">
        <v>42440.585520833331</v>
      </c>
      <c r="D178" t="s">
        <v>167</v>
      </c>
    </row>
    <row r="179" spans="1:4" x14ac:dyDescent="0.35">
      <c r="A179" s="1">
        <v>42440.585740740738</v>
      </c>
      <c r="D179" t="s">
        <v>166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processArrival">
                <anchor moveWithCells="1" sizeWithCells="1">
                  <from>
                    <xdr:col>5</xdr:col>
                    <xdr:colOff>603250</xdr:colOff>
                    <xdr:row>2</xdr:row>
                    <xdr:rowOff>0</xdr:rowOff>
                  </from>
                  <to>
                    <xdr:col>9</xdr:col>
                    <xdr:colOff>603250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1.processDep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8"/>
  <sheetViews>
    <sheetView workbookViewId="0"/>
  </sheetViews>
  <sheetFormatPr defaultRowHeight="14.5" x14ac:dyDescent="0.35"/>
  <cols>
    <col min="1" max="3" width="14.54296875" bestFit="1" customWidth="1"/>
    <col min="4" max="4" width="50.54296875" hidden="1" customWidth="1"/>
    <col min="5" max="5" width="10.08984375" hidden="1" customWidth="1"/>
    <col min="6" max="6" width="0" hidden="1" customWidth="1"/>
    <col min="7" max="7" width="11.81640625" bestFit="1" customWidth="1"/>
  </cols>
  <sheetData>
    <row r="1" spans="1:9" x14ac:dyDescent="0.35">
      <c r="A1" t="s">
        <v>168</v>
      </c>
      <c r="B1" t="s">
        <v>8</v>
      </c>
      <c r="C1" t="s">
        <v>9</v>
      </c>
      <c r="D1" t="s">
        <v>169</v>
      </c>
      <c r="E1" t="s">
        <v>172</v>
      </c>
      <c r="G1" t="s">
        <v>170</v>
      </c>
      <c r="H1" t="s">
        <v>171</v>
      </c>
      <c r="I1" t="s">
        <v>11</v>
      </c>
    </row>
    <row r="2" spans="1:9" x14ac:dyDescent="0.35">
      <c r="A2" s="1">
        <v>42440.474432870367</v>
      </c>
      <c r="B2" s="1">
        <v>42440.474432870367</v>
      </c>
      <c r="C2" s="1">
        <v>42440.475011574075</v>
      </c>
      <c r="D2" t="s">
        <v>44</v>
      </c>
      <c r="G2">
        <v>0</v>
      </c>
      <c r="H2">
        <f>24*60*(B2-A2)</f>
        <v>0</v>
      </c>
      <c r="I2">
        <f>24*60*(C2-B2)</f>
        <v>0.8333333395421505</v>
      </c>
    </row>
    <row r="3" spans="1:9" x14ac:dyDescent="0.35">
      <c r="A3" s="1">
        <v>42440.47488425926</v>
      </c>
      <c r="B3" s="1">
        <v>42440.475011574075</v>
      </c>
      <c r="C3" s="1">
        <v>42440.475231481483</v>
      </c>
      <c r="D3" t="s">
        <v>45</v>
      </c>
      <c r="G3">
        <f>24*60*(A3-A2)</f>
        <v>0.65000000526197255</v>
      </c>
      <c r="H3">
        <f>24*60*(B3-A3)</f>
        <v>0.18333333428017795</v>
      </c>
      <c r="I3">
        <f>24*60*(C3-B3)</f>
        <v>0.31666666734963655</v>
      </c>
    </row>
    <row r="4" spans="1:9" x14ac:dyDescent="0.35">
      <c r="A4" s="1">
        <v>42440.475497685184</v>
      </c>
      <c r="B4" s="1">
        <v>42440.475497685184</v>
      </c>
      <c r="C4" s="1">
        <v>42440.475682870368</v>
      </c>
      <c r="D4" t="s">
        <v>46</v>
      </c>
      <c r="G4">
        <f t="shared" ref="G4:G7" si="0">24*60*(A4-A3)</f>
        <v>0.88333333027549088</v>
      </c>
      <c r="H4">
        <f t="shared" ref="H4:H7" si="1">24*60*(B4-A4)</f>
        <v>0</v>
      </c>
      <c r="I4">
        <f t="shared" ref="I4:I7" si="2">24*60*(C4-B4)</f>
        <v>0.26666666613891721</v>
      </c>
    </row>
    <row r="5" spans="1:9" x14ac:dyDescent="0.35">
      <c r="A5" s="1">
        <v>42440.475497685184</v>
      </c>
      <c r="B5" s="1">
        <v>42440.475682870368</v>
      </c>
      <c r="C5" s="1">
        <v>42440.476099537038</v>
      </c>
      <c r="D5" t="s">
        <v>47</v>
      </c>
      <c r="G5">
        <f t="shared" si="0"/>
        <v>0</v>
      </c>
      <c r="H5">
        <f t="shared" si="1"/>
        <v>0.26666666613891721</v>
      </c>
      <c r="I5">
        <f t="shared" si="2"/>
        <v>0.6000000040512532</v>
      </c>
    </row>
    <row r="6" spans="1:9" x14ac:dyDescent="0.35">
      <c r="A6" s="1">
        <v>42440.480208333334</v>
      </c>
      <c r="B6" s="1">
        <v>42440.480208333334</v>
      </c>
      <c r="C6" s="1">
        <v>42440.480729166666</v>
      </c>
      <c r="D6" t="s">
        <v>40</v>
      </c>
      <c r="G6">
        <f t="shared" si="0"/>
        <v>6.7833333369344473</v>
      </c>
      <c r="H6">
        <f t="shared" si="1"/>
        <v>0</v>
      </c>
      <c r="I6">
        <f t="shared" si="2"/>
        <v>0.74999999720603228</v>
      </c>
    </row>
    <row r="7" spans="1:9" x14ac:dyDescent="0.35">
      <c r="A7" s="1">
        <v>42440.481388888889</v>
      </c>
      <c r="B7" s="1">
        <v>42440.481388888889</v>
      </c>
      <c r="C7" s="1">
        <v>42440.482314814813</v>
      </c>
      <c r="D7" t="s">
        <v>35</v>
      </c>
      <c r="G7">
        <f t="shared" si="0"/>
        <v>1.6999999992549419</v>
      </c>
      <c r="H7">
        <f t="shared" si="1"/>
        <v>0</v>
      </c>
      <c r="I7">
        <f t="shared" si="2"/>
        <v>1.333333330694586</v>
      </c>
    </row>
    <row r="8" spans="1:9" x14ac:dyDescent="0.35">
      <c r="A8" s="1">
        <v>42440.481400462966</v>
      </c>
      <c r="B8" s="1">
        <v>42440.482314814813</v>
      </c>
      <c r="C8" s="1">
        <v>42440.482314814813</v>
      </c>
      <c r="D8" t="s">
        <v>49</v>
      </c>
      <c r="G8">
        <f t="shared" ref="G8:G71" si="3">24*60*(A8-A7)</f>
        <v>1.6666670562699437E-2</v>
      </c>
      <c r="H8">
        <f t="shared" ref="H8:H71" si="4">24*60*(B8-A8)</f>
        <v>1.3166666601318866</v>
      </c>
      <c r="I8">
        <f t="shared" ref="I8:I71" si="5">24*60*(C8-B8)</f>
        <v>0</v>
      </c>
    </row>
    <row r="9" spans="1:9" x14ac:dyDescent="0.35">
      <c r="A9" s="1">
        <v>42440.482673611114</v>
      </c>
      <c r="B9" s="1">
        <v>42440.482673611114</v>
      </c>
      <c r="C9" s="1">
        <v>42440.482928240737</v>
      </c>
      <c r="D9" t="s">
        <v>39</v>
      </c>
      <c r="G9">
        <f t="shared" si="3"/>
        <v>1.8333333323244005</v>
      </c>
      <c r="H9">
        <f t="shared" si="4"/>
        <v>0</v>
      </c>
      <c r="I9">
        <f t="shared" si="5"/>
        <v>0.36666665808297694</v>
      </c>
    </row>
    <row r="10" spans="1:9" s="10" customFormat="1" x14ac:dyDescent="0.35">
      <c r="A10" s="9">
        <v>42440.483865740738</v>
      </c>
      <c r="B10" s="9">
        <v>42440.483865740738</v>
      </c>
      <c r="C10" s="9">
        <v>42440.484537037039</v>
      </c>
      <c r="D10" s="10" t="s">
        <v>50</v>
      </c>
      <c r="G10" s="10">
        <f t="shared" si="3"/>
        <v>1.7166666593402624</v>
      </c>
      <c r="H10" s="10">
        <f t="shared" si="4"/>
        <v>0</v>
      </c>
      <c r="I10" s="10">
        <f t="shared" si="5"/>
        <v>0.9666666726116091</v>
      </c>
    </row>
    <row r="11" spans="1:9" x14ac:dyDescent="0.35">
      <c r="A11" s="1">
        <v>42440.48877314815</v>
      </c>
      <c r="B11" s="1">
        <v>42440.48877314815</v>
      </c>
      <c r="C11" s="1">
        <v>42440.489166666666</v>
      </c>
      <c r="D11" t="s">
        <v>32</v>
      </c>
      <c r="G11">
        <f t="shared" si="3"/>
        <v>7.0666666736360639</v>
      </c>
      <c r="H11">
        <f t="shared" si="4"/>
        <v>0</v>
      </c>
      <c r="I11">
        <f t="shared" si="5"/>
        <v>0.56666666292585433</v>
      </c>
    </row>
    <row r="12" spans="1:9" x14ac:dyDescent="0.35">
      <c r="A12" s="1">
        <v>42440.491249999999</v>
      </c>
      <c r="B12" s="1">
        <v>42440.491249999999</v>
      </c>
      <c r="C12" s="1">
        <v>42440.492129629631</v>
      </c>
      <c r="D12" t="s">
        <v>53</v>
      </c>
      <c r="G12">
        <f t="shared" si="3"/>
        <v>3.5666666622273624</v>
      </c>
      <c r="H12">
        <f t="shared" si="4"/>
        <v>0</v>
      </c>
      <c r="I12">
        <f t="shared" si="5"/>
        <v>1.2666666693985462</v>
      </c>
    </row>
    <row r="13" spans="1:9" x14ac:dyDescent="0.35">
      <c r="A13" s="1">
        <v>42440.491249999999</v>
      </c>
      <c r="B13" s="1">
        <v>42440.492129629631</v>
      </c>
      <c r="C13" s="1">
        <v>42440.493333333332</v>
      </c>
      <c r="D13" t="s">
        <v>54</v>
      </c>
      <c r="G13">
        <f t="shared" si="3"/>
        <v>0</v>
      </c>
      <c r="H13">
        <f t="shared" si="4"/>
        <v>1.2666666693985462</v>
      </c>
      <c r="I13">
        <f t="shared" si="5"/>
        <v>1.7333333299029619</v>
      </c>
    </row>
    <row r="14" spans="1:9" x14ac:dyDescent="0.35">
      <c r="A14" s="1">
        <v>42440.491689814815</v>
      </c>
      <c r="B14" s="1">
        <v>42440.493333333332</v>
      </c>
      <c r="C14" s="1">
        <v>42440.493946759256</v>
      </c>
      <c r="D14" t="s">
        <v>56</v>
      </c>
      <c r="G14">
        <f t="shared" si="3"/>
        <v>0.63333333469927311</v>
      </c>
      <c r="H14">
        <f t="shared" si="4"/>
        <v>2.366666664602235</v>
      </c>
      <c r="I14">
        <f t="shared" si="5"/>
        <v>0.88333333027549088</v>
      </c>
    </row>
    <row r="15" spans="1:9" x14ac:dyDescent="0.35">
      <c r="A15" s="1">
        <v>42440.49417824074</v>
      </c>
      <c r="B15" s="1">
        <v>42440.49417824074</v>
      </c>
      <c r="C15" s="1">
        <v>42440.494525462964</v>
      </c>
      <c r="D15" t="s">
        <v>58</v>
      </c>
      <c r="G15">
        <f t="shared" si="3"/>
        <v>3.5833333327900618</v>
      </c>
      <c r="H15">
        <f t="shared" si="4"/>
        <v>0</v>
      </c>
      <c r="I15">
        <f t="shared" si="5"/>
        <v>0.50000000162981451</v>
      </c>
    </row>
    <row r="16" spans="1:9" x14ac:dyDescent="0.35">
      <c r="A16" s="1">
        <v>42440.497407407405</v>
      </c>
      <c r="B16" s="1">
        <v>42440.497407407405</v>
      </c>
      <c r="C16" s="1">
        <v>42440.49790509259</v>
      </c>
      <c r="D16" t="s">
        <v>59</v>
      </c>
      <c r="G16">
        <f t="shared" si="3"/>
        <v>4.6499999973457307</v>
      </c>
      <c r="H16">
        <f t="shared" si="4"/>
        <v>0</v>
      </c>
      <c r="I16">
        <f t="shared" si="5"/>
        <v>0.71666666655801237</v>
      </c>
    </row>
    <row r="17" spans="1:9" x14ac:dyDescent="0.35">
      <c r="A17" s="1">
        <v>42440.49931712963</v>
      </c>
      <c r="B17" s="1">
        <v>42440.49931712963</v>
      </c>
      <c r="C17" s="1">
        <v>42440.50068287037</v>
      </c>
      <c r="D17" t="s">
        <v>60</v>
      </c>
      <c r="G17">
        <f t="shared" si="3"/>
        <v>2.7500000037252903</v>
      </c>
      <c r="H17">
        <f t="shared" si="4"/>
        <v>0</v>
      </c>
      <c r="I17">
        <f t="shared" si="5"/>
        <v>1.9666666653938591</v>
      </c>
    </row>
    <row r="18" spans="1:9" x14ac:dyDescent="0.35">
      <c r="A18" s="1">
        <v>42440.500300925924</v>
      </c>
      <c r="B18" s="1">
        <v>42440.50068287037</v>
      </c>
      <c r="C18" s="1">
        <v>42440.501122685186</v>
      </c>
      <c r="D18" t="s">
        <v>39</v>
      </c>
      <c r="G18">
        <f t="shared" si="3"/>
        <v>1.4166666625533253</v>
      </c>
      <c r="H18">
        <f t="shared" si="4"/>
        <v>0.55000000284053385</v>
      </c>
      <c r="I18">
        <f t="shared" si="5"/>
        <v>0.63333333469927311</v>
      </c>
    </row>
    <row r="19" spans="1:9" x14ac:dyDescent="0.35">
      <c r="A19" s="1">
        <v>42440.5003125</v>
      </c>
      <c r="B19" s="1">
        <v>42440.501122685186</v>
      </c>
      <c r="C19" s="1">
        <v>42440.501701388886</v>
      </c>
      <c r="D19" t="s">
        <v>61</v>
      </c>
      <c r="G19">
        <f t="shared" si="3"/>
        <v>1.6666670562699437E-2</v>
      </c>
      <c r="H19">
        <f t="shared" si="4"/>
        <v>1.1666666669771075</v>
      </c>
      <c r="I19">
        <f t="shared" si="5"/>
        <v>0.83333332906477153</v>
      </c>
    </row>
    <row r="20" spans="1:9" x14ac:dyDescent="0.35">
      <c r="A20" s="1">
        <v>42440.500983796293</v>
      </c>
      <c r="B20" s="1">
        <v>42440.501701388886</v>
      </c>
      <c r="C20" s="1">
        <v>42440.502002314817</v>
      </c>
      <c r="D20" t="s">
        <v>62</v>
      </c>
      <c r="G20">
        <f t="shared" si="3"/>
        <v>0.96666666213423014</v>
      </c>
      <c r="H20">
        <f t="shared" si="4"/>
        <v>1.0333333339076489</v>
      </c>
      <c r="I20">
        <f t="shared" si="5"/>
        <v>0.43333334033377469</v>
      </c>
    </row>
    <row r="21" spans="1:9" x14ac:dyDescent="0.35">
      <c r="A21" s="1">
        <v>42440.501793981479</v>
      </c>
      <c r="B21" s="1">
        <v>42440.502002314817</v>
      </c>
      <c r="C21" s="1">
        <v>42440.50277777778</v>
      </c>
      <c r="D21" t="s">
        <v>63</v>
      </c>
      <c r="G21">
        <f t="shared" si="3"/>
        <v>1.1666666669771075</v>
      </c>
      <c r="H21">
        <f t="shared" si="4"/>
        <v>0.30000000726431608</v>
      </c>
      <c r="I21">
        <f t="shared" si="5"/>
        <v>1.1166666657663882</v>
      </c>
    </row>
    <row r="22" spans="1:9" x14ac:dyDescent="0.35">
      <c r="A22" s="1">
        <v>42440.502627314818</v>
      </c>
      <c r="B22" s="1">
        <v>42440.50277777778</v>
      </c>
      <c r="C22" s="1">
        <v>42440.503553240742</v>
      </c>
      <c r="D22" t="s">
        <v>64</v>
      </c>
      <c r="G22">
        <f t="shared" si="3"/>
        <v>1.2000000081025064</v>
      </c>
      <c r="H22">
        <f t="shared" si="4"/>
        <v>0.21666666492819786</v>
      </c>
      <c r="I22">
        <f t="shared" si="5"/>
        <v>1.1166666657663882</v>
      </c>
    </row>
    <row r="23" spans="1:9" x14ac:dyDescent="0.35">
      <c r="A23" s="1">
        <v>42440.503217592595</v>
      </c>
      <c r="B23" s="1">
        <v>42440.503553240742</v>
      </c>
      <c r="C23" s="1">
        <v>42440.503564814811</v>
      </c>
      <c r="D23" t="s">
        <v>66</v>
      </c>
      <c r="G23">
        <f t="shared" si="3"/>
        <v>0.84999999962747097</v>
      </c>
      <c r="H23">
        <f t="shared" si="4"/>
        <v>0.48333333106711507</v>
      </c>
      <c r="I23">
        <f t="shared" si="5"/>
        <v>1.6666660085320473E-2</v>
      </c>
    </row>
    <row r="24" spans="1:9" x14ac:dyDescent="0.35">
      <c r="A24" s="1">
        <v>42440.504004629627</v>
      </c>
      <c r="B24" s="1">
        <v>42440.504004629627</v>
      </c>
      <c r="C24" s="1">
        <v>42440.50509259259</v>
      </c>
      <c r="D24" t="s">
        <v>68</v>
      </c>
      <c r="G24">
        <f t="shared" si="3"/>
        <v>1.1333333258517087</v>
      </c>
      <c r="H24">
        <f t="shared" si="4"/>
        <v>0</v>
      </c>
      <c r="I24">
        <f t="shared" si="5"/>
        <v>1.5666666661854833</v>
      </c>
    </row>
    <row r="25" spans="1:9" x14ac:dyDescent="0.35">
      <c r="A25" s="1">
        <v>42440.504189814812</v>
      </c>
      <c r="B25" s="1">
        <v>42440.50509259259</v>
      </c>
      <c r="C25" s="1">
        <v>42440.50582175926</v>
      </c>
      <c r="D25" t="s">
        <v>69</v>
      </c>
      <c r="G25">
        <f t="shared" si="3"/>
        <v>0.26666666613891721</v>
      </c>
      <c r="H25">
        <f t="shared" si="4"/>
        <v>1.3000000000465661</v>
      </c>
      <c r="I25">
        <f t="shared" si="5"/>
        <v>1.0500000044703484</v>
      </c>
    </row>
    <row r="26" spans="1:9" x14ac:dyDescent="0.35">
      <c r="A26" s="1">
        <v>42440.505069444444</v>
      </c>
      <c r="B26" s="1">
        <v>42440.50582175926</v>
      </c>
      <c r="C26" s="1">
        <v>42440.507002314815</v>
      </c>
      <c r="D26" t="s">
        <v>70</v>
      </c>
      <c r="G26">
        <f t="shared" si="3"/>
        <v>1.2666666693985462</v>
      </c>
      <c r="H26">
        <f t="shared" si="4"/>
        <v>1.0833333351183683</v>
      </c>
      <c r="I26">
        <f t="shared" si="5"/>
        <v>1.6999999992549419</v>
      </c>
    </row>
    <row r="27" spans="1:9" x14ac:dyDescent="0.35">
      <c r="A27" s="1">
        <v>42440.505069444444</v>
      </c>
      <c r="B27" s="1">
        <v>42440.507002314815</v>
      </c>
      <c r="C27" s="1">
        <v>42440.507777777777</v>
      </c>
      <c r="D27" t="s">
        <v>72</v>
      </c>
      <c r="G27">
        <f t="shared" si="3"/>
        <v>0</v>
      </c>
      <c r="H27">
        <f t="shared" si="4"/>
        <v>2.7833333343733102</v>
      </c>
      <c r="I27">
        <f t="shared" si="5"/>
        <v>1.1166666657663882</v>
      </c>
    </row>
    <row r="28" spans="1:9" x14ac:dyDescent="0.35">
      <c r="A28" s="1">
        <v>42440.505486111113</v>
      </c>
      <c r="B28" s="1">
        <v>42440.507777777777</v>
      </c>
      <c r="C28" s="1">
        <v>42440.508611111109</v>
      </c>
      <c r="D28" t="s">
        <v>71</v>
      </c>
      <c r="G28">
        <f t="shared" si="3"/>
        <v>0.6000000040512532</v>
      </c>
      <c r="H28">
        <f t="shared" si="4"/>
        <v>3.2999999960884452</v>
      </c>
      <c r="I28">
        <f t="shared" si="5"/>
        <v>1.1999999976251274</v>
      </c>
    </row>
    <row r="29" spans="1:9" x14ac:dyDescent="0.35">
      <c r="A29" s="1">
        <v>42440.507557870369</v>
      </c>
      <c r="B29" s="1">
        <v>42440.508611111109</v>
      </c>
      <c r="C29" s="1">
        <v>42440.509155092594</v>
      </c>
      <c r="D29" t="s">
        <v>73</v>
      </c>
      <c r="G29">
        <f t="shared" si="3"/>
        <v>2.9833333287388086</v>
      </c>
      <c r="H29">
        <f t="shared" si="4"/>
        <v>1.516666664974764</v>
      </c>
      <c r="I29">
        <f t="shared" si="5"/>
        <v>0.78333333833143115</v>
      </c>
    </row>
    <row r="30" spans="1:9" x14ac:dyDescent="0.35">
      <c r="A30" s="1">
        <v>42440.508715277778</v>
      </c>
      <c r="B30" s="1">
        <v>42440.509155092594</v>
      </c>
      <c r="C30" s="1">
        <v>42440.509340277778</v>
      </c>
      <c r="D30" t="s">
        <v>74</v>
      </c>
      <c r="G30">
        <f t="shared" si="3"/>
        <v>1.666666668606922</v>
      </c>
      <c r="H30">
        <f t="shared" si="4"/>
        <v>0.63333333469927311</v>
      </c>
      <c r="I30">
        <f t="shared" si="5"/>
        <v>0.26666666613891721</v>
      </c>
    </row>
    <row r="31" spans="1:9" x14ac:dyDescent="0.35">
      <c r="A31" s="1">
        <v>42440.508831018517</v>
      </c>
      <c r="B31" s="1">
        <v>42440.509340277778</v>
      </c>
      <c r="C31" s="1">
        <v>42440.50980324074</v>
      </c>
      <c r="D31" t="s">
        <v>75</v>
      </c>
      <c r="G31">
        <f t="shared" si="3"/>
        <v>0.16666666371747851</v>
      </c>
      <c r="H31">
        <f t="shared" si="4"/>
        <v>0.7333333371207118</v>
      </c>
      <c r="I31">
        <f t="shared" si="5"/>
        <v>0.66666666534729302</v>
      </c>
    </row>
    <row r="32" spans="1:9" x14ac:dyDescent="0.35">
      <c r="A32" s="1">
        <v>42440.511064814818</v>
      </c>
      <c r="B32" s="1">
        <v>42440.511064814818</v>
      </c>
      <c r="C32" s="1">
        <v>42440.511458333334</v>
      </c>
      <c r="D32" t="s">
        <v>76</v>
      </c>
      <c r="G32">
        <f t="shared" si="3"/>
        <v>3.2166666747070849</v>
      </c>
      <c r="H32">
        <f t="shared" si="4"/>
        <v>0</v>
      </c>
      <c r="I32">
        <f t="shared" si="5"/>
        <v>0.56666666292585433</v>
      </c>
    </row>
    <row r="33" spans="1:9" x14ac:dyDescent="0.35">
      <c r="A33" s="1">
        <v>42440.51122685185</v>
      </c>
      <c r="B33" s="1">
        <v>42440.511458333334</v>
      </c>
      <c r="C33" s="1">
        <v>42440.511678240742</v>
      </c>
      <c r="G33">
        <f t="shared" si="3"/>
        <v>0.23333332501351833</v>
      </c>
      <c r="H33">
        <f t="shared" si="4"/>
        <v>0.33333333791233599</v>
      </c>
      <c r="I33">
        <f t="shared" si="5"/>
        <v>0.31666666734963655</v>
      </c>
    </row>
    <row r="34" spans="1:9" x14ac:dyDescent="0.35">
      <c r="A34" s="1">
        <v>42440.51122685185</v>
      </c>
      <c r="B34" s="1">
        <v>42440.511678240742</v>
      </c>
      <c r="C34" s="1">
        <v>42440.512627314813</v>
      </c>
      <c r="D34" t="s">
        <v>77</v>
      </c>
      <c r="G34">
        <f t="shared" si="3"/>
        <v>0</v>
      </c>
      <c r="H34">
        <f t="shared" si="4"/>
        <v>0.65000000526197255</v>
      </c>
      <c r="I34">
        <f t="shared" si="5"/>
        <v>1.3666666613426059</v>
      </c>
    </row>
    <row r="35" spans="1:9" x14ac:dyDescent="0.35">
      <c r="A35" s="1">
        <v>42440.511307870373</v>
      </c>
      <c r="B35" s="1">
        <v>42440.512627314813</v>
      </c>
      <c r="C35" s="1">
        <v>42440.514537037037</v>
      </c>
      <c r="D35" t="s">
        <v>78</v>
      </c>
      <c r="G35">
        <f t="shared" si="3"/>
        <v>0.11666667298413813</v>
      </c>
      <c r="H35">
        <f t="shared" si="4"/>
        <v>1.8999999936204404</v>
      </c>
      <c r="I35">
        <f t="shared" si="5"/>
        <v>2.7500000037252903</v>
      </c>
    </row>
    <row r="36" spans="1:9" x14ac:dyDescent="0.35">
      <c r="A36" s="1">
        <v>42440.511307870373</v>
      </c>
      <c r="B36" s="1">
        <v>42440.514537037037</v>
      </c>
      <c r="C36" s="1">
        <v>42440.515960648147</v>
      </c>
      <c r="D36" t="s">
        <v>79</v>
      </c>
      <c r="G36">
        <f t="shared" si="3"/>
        <v>0</v>
      </c>
      <c r="H36">
        <f t="shared" si="4"/>
        <v>4.6499999973457307</v>
      </c>
      <c r="I36">
        <f t="shared" si="5"/>
        <v>2.0499999972525984</v>
      </c>
    </row>
    <row r="37" spans="1:9" x14ac:dyDescent="0.35">
      <c r="A37" s="1">
        <v>42440.51152777778</v>
      </c>
      <c r="B37" s="1">
        <v>42440.515960648147</v>
      </c>
      <c r="C37" s="1">
        <v>42440.516134259262</v>
      </c>
      <c r="D37" t="s">
        <v>80</v>
      </c>
      <c r="G37">
        <f t="shared" si="3"/>
        <v>0.31666666734963655</v>
      </c>
      <c r="H37">
        <f t="shared" si="4"/>
        <v>6.3833333272486925</v>
      </c>
      <c r="I37">
        <f t="shared" si="5"/>
        <v>0.25000000605359674</v>
      </c>
    </row>
    <row r="38" spans="1:9" x14ac:dyDescent="0.35">
      <c r="A38" s="1">
        <v>42440.511793981481</v>
      </c>
      <c r="B38" s="1">
        <v>42440.516145833331</v>
      </c>
      <c r="C38" s="1">
        <v>42440.517523148148</v>
      </c>
      <c r="D38" t="s">
        <v>81</v>
      </c>
      <c r="G38">
        <f t="shared" si="3"/>
        <v>0.38333332864567637</v>
      </c>
      <c r="H38">
        <f t="shared" si="4"/>
        <v>6.2666666647419333</v>
      </c>
      <c r="I38">
        <f t="shared" si="5"/>
        <v>1.9833333359565586</v>
      </c>
    </row>
    <row r="39" spans="1:9" x14ac:dyDescent="0.35">
      <c r="A39" s="1">
        <v>42440.511990740742</v>
      </c>
      <c r="B39" s="1">
        <v>42440.517523148148</v>
      </c>
      <c r="C39" s="1">
        <v>42440.518055555556</v>
      </c>
      <c r="D39" t="s">
        <v>82</v>
      </c>
      <c r="G39">
        <f t="shared" si="3"/>
        <v>0.28333333670161664</v>
      </c>
      <c r="H39">
        <f t="shared" si="4"/>
        <v>7.9666666639968753</v>
      </c>
      <c r="I39">
        <f t="shared" si="5"/>
        <v>0.76666666776873171</v>
      </c>
    </row>
    <row r="40" spans="1:9" x14ac:dyDescent="0.35">
      <c r="A40" s="1">
        <v>42440.511990740742</v>
      </c>
      <c r="B40" s="1">
        <v>42440.518055555556</v>
      </c>
      <c r="C40" s="1">
        <v>42440.518692129626</v>
      </c>
      <c r="D40" t="s">
        <v>83</v>
      </c>
      <c r="G40">
        <f t="shared" si="3"/>
        <v>0</v>
      </c>
      <c r="H40">
        <f t="shared" si="4"/>
        <v>8.733333331765607</v>
      </c>
      <c r="I40">
        <f t="shared" si="5"/>
        <v>0.91666666092351079</v>
      </c>
    </row>
    <row r="41" spans="1:9" x14ac:dyDescent="0.35">
      <c r="A41" s="1">
        <v>42440.512928240743</v>
      </c>
      <c r="B41" s="1">
        <v>42440.518692129626</v>
      </c>
      <c r="C41" s="1">
        <v>42440.52</v>
      </c>
      <c r="D41" t="s">
        <v>84</v>
      </c>
      <c r="G41">
        <f t="shared" si="3"/>
        <v>1.3500000012572855</v>
      </c>
      <c r="H41">
        <f t="shared" si="4"/>
        <v>8.2999999914318323</v>
      </c>
      <c r="I41">
        <f t="shared" si="5"/>
        <v>1.8833333335351199</v>
      </c>
    </row>
    <row r="42" spans="1:9" x14ac:dyDescent="0.35">
      <c r="A42" s="1">
        <v>42440.513738425929</v>
      </c>
      <c r="B42" s="1">
        <v>42440.52</v>
      </c>
      <c r="C42" s="1">
        <v>42440.520150462966</v>
      </c>
      <c r="D42" t="s">
        <v>85</v>
      </c>
      <c r="G42">
        <f t="shared" si="3"/>
        <v>1.1666666669771075</v>
      </c>
      <c r="H42">
        <f t="shared" si="4"/>
        <v>9.0166666579898447</v>
      </c>
      <c r="I42">
        <f t="shared" si="5"/>
        <v>0.21666667540557683</v>
      </c>
    </row>
    <row r="43" spans="1:9" x14ac:dyDescent="0.35">
      <c r="A43" s="1">
        <v>42440.513738425929</v>
      </c>
      <c r="B43" s="1">
        <v>42440.520150462966</v>
      </c>
      <c r="C43" s="1">
        <v>42440.520335648151</v>
      </c>
      <c r="D43" t="s">
        <v>86</v>
      </c>
      <c r="G43">
        <f t="shared" si="3"/>
        <v>0</v>
      </c>
      <c r="H43">
        <f t="shared" si="4"/>
        <v>9.2333333333954215</v>
      </c>
      <c r="I43">
        <f t="shared" si="5"/>
        <v>0.26666666613891721</v>
      </c>
    </row>
    <row r="44" spans="1:9" x14ac:dyDescent="0.35">
      <c r="A44" s="1">
        <v>42440.515428240738</v>
      </c>
      <c r="B44" s="1">
        <v>42440.520335648151</v>
      </c>
      <c r="C44" s="1">
        <v>42440.52107638889</v>
      </c>
      <c r="D44" t="s">
        <v>87</v>
      </c>
      <c r="G44">
        <f t="shared" si="3"/>
        <v>2.4333333258982748</v>
      </c>
      <c r="H44">
        <f t="shared" si="4"/>
        <v>7.0666666736360639</v>
      </c>
      <c r="I44">
        <f t="shared" si="5"/>
        <v>1.0666666645556688</v>
      </c>
    </row>
    <row r="45" spans="1:9" x14ac:dyDescent="0.35">
      <c r="A45" s="1">
        <v>42440.518333333333</v>
      </c>
      <c r="B45" s="1">
        <v>42440.52107638889</v>
      </c>
      <c r="C45" s="1">
        <v>42440.521435185183</v>
      </c>
      <c r="D45" t="s">
        <v>88</v>
      </c>
      <c r="G45">
        <f t="shared" si="3"/>
        <v>4.183333336841315</v>
      </c>
      <c r="H45">
        <f t="shared" si="4"/>
        <v>3.9500000013504177</v>
      </c>
      <c r="I45">
        <f t="shared" si="5"/>
        <v>0.51666666171513498</v>
      </c>
    </row>
    <row r="46" spans="1:9" x14ac:dyDescent="0.35">
      <c r="A46" s="1">
        <v>42440.518472222226</v>
      </c>
      <c r="B46" s="1">
        <v>42440.521435185183</v>
      </c>
      <c r="C46" s="1">
        <v>42440.521608796298</v>
      </c>
      <c r="D46" t="s">
        <v>89</v>
      </c>
      <c r="G46">
        <f t="shared" si="3"/>
        <v>0.20000000484287739</v>
      </c>
      <c r="H46">
        <f t="shared" si="4"/>
        <v>4.2666666582226753</v>
      </c>
      <c r="I46">
        <f t="shared" si="5"/>
        <v>0.25000000605359674</v>
      </c>
    </row>
    <row r="47" spans="1:9" x14ac:dyDescent="0.35">
      <c r="A47" s="1">
        <v>42440.518483796295</v>
      </c>
      <c r="B47" s="1">
        <v>42440.521608796298</v>
      </c>
      <c r="C47" s="1">
        <v>42440.521944444445</v>
      </c>
      <c r="D47" t="s">
        <v>90</v>
      </c>
      <c r="G47">
        <f t="shared" si="3"/>
        <v>1.6666660085320473E-2</v>
      </c>
      <c r="H47">
        <f t="shared" si="4"/>
        <v>4.5000000041909516</v>
      </c>
      <c r="I47">
        <f t="shared" si="5"/>
        <v>0.48333333106711507</v>
      </c>
    </row>
    <row r="48" spans="1:9" x14ac:dyDescent="0.35">
      <c r="A48" s="1">
        <v>42440.519386574073</v>
      </c>
      <c r="B48" s="1">
        <v>42440.521944444445</v>
      </c>
      <c r="C48" s="1">
        <v>42440.522233796299</v>
      </c>
      <c r="D48" t="s">
        <v>70</v>
      </c>
      <c r="G48">
        <f t="shared" si="3"/>
        <v>1.3000000000465661</v>
      </c>
      <c r="H48">
        <f t="shared" si="4"/>
        <v>3.6833333352115005</v>
      </c>
      <c r="I48">
        <f t="shared" si="5"/>
        <v>0.41666666977107525</v>
      </c>
    </row>
    <row r="49" spans="1:9" x14ac:dyDescent="0.35">
      <c r="A49" s="1">
        <v>42440.519444444442</v>
      </c>
      <c r="B49" s="1">
        <v>42440.522233796299</v>
      </c>
      <c r="C49" s="1">
        <v>42440.523287037038</v>
      </c>
      <c r="D49" t="s">
        <v>91</v>
      </c>
      <c r="G49">
        <f t="shared" si="3"/>
        <v>8.3333331858739257E-2</v>
      </c>
      <c r="H49">
        <f t="shared" si="4"/>
        <v>4.0166666731238365</v>
      </c>
      <c r="I49">
        <f t="shared" si="5"/>
        <v>1.516666664974764</v>
      </c>
    </row>
    <row r="50" spans="1:9" x14ac:dyDescent="0.35">
      <c r="A50" s="1">
        <v>42440.519699074073</v>
      </c>
      <c r="B50" s="1">
        <v>42440.523287037038</v>
      </c>
      <c r="C50" s="1">
        <v>42440.524722222224</v>
      </c>
      <c r="D50" t="s">
        <v>93</v>
      </c>
      <c r="G50">
        <f t="shared" si="3"/>
        <v>0.3666666685603559</v>
      </c>
      <c r="H50">
        <f t="shared" si="4"/>
        <v>5.1666666695382446</v>
      </c>
      <c r="I50">
        <f t="shared" si="5"/>
        <v>2.0666666678152978</v>
      </c>
    </row>
    <row r="51" spans="1:9" x14ac:dyDescent="0.35">
      <c r="A51" s="1">
        <v>42440.520451388889</v>
      </c>
      <c r="B51" s="1">
        <v>42440.524722222224</v>
      </c>
      <c r="C51" s="1">
        <v>42440.524942129632</v>
      </c>
      <c r="D51" t="s">
        <v>94</v>
      </c>
      <c r="G51">
        <f t="shared" si="3"/>
        <v>1.0833333351183683</v>
      </c>
      <c r="H51">
        <f t="shared" si="4"/>
        <v>6.1500000022351742</v>
      </c>
      <c r="I51">
        <f t="shared" si="5"/>
        <v>0.31666666734963655</v>
      </c>
    </row>
    <row r="52" spans="1:9" x14ac:dyDescent="0.35">
      <c r="A52" s="1">
        <v>42440.521319444444</v>
      </c>
      <c r="B52" s="1">
        <v>42440.524942129632</v>
      </c>
      <c r="C52" s="1">
        <v>42440.525752314818</v>
      </c>
      <c r="D52" t="s">
        <v>96</v>
      </c>
      <c r="G52">
        <f t="shared" si="3"/>
        <v>1.2499999988358468</v>
      </c>
      <c r="H52">
        <f t="shared" si="4"/>
        <v>5.216666670748964</v>
      </c>
      <c r="I52">
        <f t="shared" si="5"/>
        <v>1.1666666669771075</v>
      </c>
    </row>
    <row r="53" spans="1:9" x14ac:dyDescent="0.35">
      <c r="A53" s="1">
        <v>42440.523206018515</v>
      </c>
      <c r="B53" s="1">
        <v>42440.525752314818</v>
      </c>
      <c r="C53" s="1">
        <v>42440.526458333334</v>
      </c>
      <c r="D53" t="s">
        <v>98</v>
      </c>
      <c r="G53">
        <f t="shared" si="3"/>
        <v>2.7166666625998914</v>
      </c>
      <c r="H53">
        <f t="shared" si="4"/>
        <v>3.6666666751261801</v>
      </c>
      <c r="I53">
        <f t="shared" si="5"/>
        <v>1.0166666633449495</v>
      </c>
    </row>
    <row r="54" spans="1:9" x14ac:dyDescent="0.35">
      <c r="A54" s="1">
        <v>42440.523715277777</v>
      </c>
      <c r="B54" s="1">
        <v>42440.526458333334</v>
      </c>
      <c r="C54" s="1">
        <v>42440.526631944442</v>
      </c>
      <c r="D54" t="s">
        <v>100</v>
      </c>
      <c r="G54">
        <f t="shared" si="3"/>
        <v>0.7333333371207118</v>
      </c>
      <c r="H54">
        <f t="shared" si="4"/>
        <v>3.9500000013504177</v>
      </c>
      <c r="I54">
        <f t="shared" si="5"/>
        <v>0.24999999557621777</v>
      </c>
    </row>
    <row r="55" spans="1:9" x14ac:dyDescent="0.35">
      <c r="A55" s="1">
        <v>42440.524027777778</v>
      </c>
      <c r="B55" s="1">
        <v>42440.526631944442</v>
      </c>
      <c r="C55" s="1">
        <v>42440.52747685185</v>
      </c>
      <c r="D55" t="s">
        <v>99</v>
      </c>
      <c r="G55">
        <f t="shared" si="3"/>
        <v>0.45000000041909516</v>
      </c>
      <c r="H55">
        <f t="shared" si="4"/>
        <v>3.7499999965075403</v>
      </c>
      <c r="I55">
        <f t="shared" si="5"/>
        <v>1.2166666681878269</v>
      </c>
    </row>
    <row r="56" spans="1:9" x14ac:dyDescent="0.35">
      <c r="A56" s="1">
        <v>42440.525046296294</v>
      </c>
      <c r="B56" s="1">
        <v>42440.52747685185</v>
      </c>
      <c r="C56" s="1">
        <v>42440.527800925927</v>
      </c>
      <c r="D56" t="s">
        <v>101</v>
      </c>
      <c r="G56">
        <f t="shared" si="3"/>
        <v>1.4666666637640446</v>
      </c>
      <c r="H56">
        <f t="shared" si="4"/>
        <v>3.5000000009313226</v>
      </c>
      <c r="I56">
        <f t="shared" si="5"/>
        <v>0.4666666709817946</v>
      </c>
    </row>
    <row r="57" spans="1:9" x14ac:dyDescent="0.35">
      <c r="A57" s="1">
        <v>42440.525127314817</v>
      </c>
      <c r="B57" s="1">
        <v>42440.527800925927</v>
      </c>
      <c r="C57" s="1">
        <v>42440.529745370368</v>
      </c>
      <c r="D57" t="s">
        <v>102</v>
      </c>
      <c r="G57">
        <f t="shared" si="3"/>
        <v>0.11666667298413813</v>
      </c>
      <c r="H57">
        <f t="shared" si="4"/>
        <v>3.849999998928979</v>
      </c>
      <c r="I57">
        <f t="shared" si="5"/>
        <v>2.7999999944586307</v>
      </c>
    </row>
    <row r="58" spans="1:9" x14ac:dyDescent="0.35">
      <c r="A58" s="1">
        <v>42440.525555555556</v>
      </c>
      <c r="B58" s="1">
        <v>42440.529745370368</v>
      </c>
      <c r="C58" s="1">
        <v>42440.531458333331</v>
      </c>
      <c r="D58" t="s">
        <v>103</v>
      </c>
      <c r="G58">
        <f t="shared" si="3"/>
        <v>0.61666666413657367</v>
      </c>
      <c r="H58">
        <f t="shared" si="4"/>
        <v>6.033333329251036</v>
      </c>
      <c r="I58">
        <f t="shared" si="5"/>
        <v>2.4666666670236737</v>
      </c>
    </row>
    <row r="59" spans="1:9" x14ac:dyDescent="0.35">
      <c r="A59" s="1">
        <v>42440.525960648149</v>
      </c>
      <c r="B59" s="1">
        <v>42440.531458333331</v>
      </c>
      <c r="C59" s="1">
        <v>42440.53197916667</v>
      </c>
      <c r="D59" t="s">
        <v>105</v>
      </c>
      <c r="G59">
        <f t="shared" si="3"/>
        <v>0.58333333348855376</v>
      </c>
      <c r="H59">
        <f t="shared" si="4"/>
        <v>7.9166666627861559</v>
      </c>
      <c r="I59">
        <f t="shared" si="5"/>
        <v>0.75000000768341124</v>
      </c>
    </row>
    <row r="60" spans="1:9" x14ac:dyDescent="0.35">
      <c r="A60" s="1">
        <v>42440.526597222219</v>
      </c>
      <c r="B60" s="1">
        <v>42440.53197916667</v>
      </c>
      <c r="C60" s="1">
        <v>42440.533703703702</v>
      </c>
      <c r="D60" t="s">
        <v>104</v>
      </c>
      <c r="G60">
        <f t="shared" si="3"/>
        <v>0.91666666092351079</v>
      </c>
      <c r="H60">
        <f t="shared" si="4"/>
        <v>7.7500000095460564</v>
      </c>
      <c r="I60">
        <f t="shared" si="5"/>
        <v>2.4833333271089941</v>
      </c>
    </row>
    <row r="61" spans="1:9" x14ac:dyDescent="0.35">
      <c r="A61" s="1">
        <v>42440.526921296296</v>
      </c>
      <c r="B61" s="1">
        <v>42440.533703703702</v>
      </c>
      <c r="C61" s="1">
        <v>42440.533935185187</v>
      </c>
      <c r="D61" t="s">
        <v>106</v>
      </c>
      <c r="G61">
        <f t="shared" si="3"/>
        <v>0.4666666709817946</v>
      </c>
      <c r="H61">
        <f t="shared" si="4"/>
        <v>9.7666666656732559</v>
      </c>
      <c r="I61">
        <f t="shared" si="5"/>
        <v>0.33333333791233599</v>
      </c>
    </row>
    <row r="62" spans="1:9" x14ac:dyDescent="0.35">
      <c r="A62" s="1">
        <v>42440.528310185182</v>
      </c>
      <c r="B62" s="1">
        <v>42440.533935185187</v>
      </c>
      <c r="C62" s="1">
        <v>42440.535150462965</v>
      </c>
      <c r="D62" t="s">
        <v>107</v>
      </c>
      <c r="G62">
        <f t="shared" si="3"/>
        <v>1.9999999960418791</v>
      </c>
      <c r="H62">
        <f t="shared" si="4"/>
        <v>8.1000000075437129</v>
      </c>
      <c r="I62">
        <f t="shared" si="5"/>
        <v>1.7500000004656613</v>
      </c>
    </row>
    <row r="63" spans="1:9" x14ac:dyDescent="0.35">
      <c r="A63" s="1">
        <v>42440.530613425923</v>
      </c>
      <c r="B63" s="1">
        <v>42440.535150462965</v>
      </c>
      <c r="C63" s="1">
        <v>42440.536099537036</v>
      </c>
      <c r="D63" t="s">
        <v>108</v>
      </c>
      <c r="G63">
        <f t="shared" si="3"/>
        <v>3.3166666666511446</v>
      </c>
      <c r="H63">
        <f t="shared" si="4"/>
        <v>6.5333333413582295</v>
      </c>
      <c r="I63">
        <f t="shared" si="5"/>
        <v>1.3666666613426059</v>
      </c>
    </row>
    <row r="64" spans="1:9" x14ac:dyDescent="0.35">
      <c r="A64" s="1">
        <v>42440.530856481484</v>
      </c>
      <c r="B64" s="1">
        <v>42440.536099537036</v>
      </c>
      <c r="C64" s="1">
        <v>42440.536921296298</v>
      </c>
      <c r="D64" t="s">
        <v>114</v>
      </c>
      <c r="G64">
        <f t="shared" si="3"/>
        <v>0.35000000847503543</v>
      </c>
      <c r="H64">
        <f t="shared" si="4"/>
        <v>7.5499999942258</v>
      </c>
      <c r="I64">
        <f t="shared" si="5"/>
        <v>1.183333337539807</v>
      </c>
    </row>
    <row r="65" spans="1:9" x14ac:dyDescent="0.35">
      <c r="A65" s="1">
        <v>42440.530949074076</v>
      </c>
      <c r="B65" s="1">
        <v>42440.536921296298</v>
      </c>
      <c r="C65" s="1">
        <v>42440.538437499999</v>
      </c>
      <c r="D65" t="s">
        <v>109</v>
      </c>
      <c r="G65">
        <f t="shared" si="3"/>
        <v>0.1333333330694586</v>
      </c>
      <c r="H65">
        <f t="shared" si="4"/>
        <v>8.5999999986961484</v>
      </c>
      <c r="I65">
        <f t="shared" si="5"/>
        <v>2.183333330322057</v>
      </c>
    </row>
    <row r="66" spans="1:9" x14ac:dyDescent="0.35">
      <c r="A66" s="1">
        <v>42440.531064814815</v>
      </c>
      <c r="B66" s="1">
        <v>42440.538437499999</v>
      </c>
      <c r="C66" s="1">
        <v>42440.54</v>
      </c>
      <c r="D66" t="s">
        <v>111</v>
      </c>
      <c r="G66">
        <f t="shared" si="3"/>
        <v>0.16666666371747851</v>
      </c>
      <c r="H66">
        <f t="shared" si="4"/>
        <v>10.616666665300727</v>
      </c>
      <c r="I66">
        <f t="shared" si="5"/>
        <v>2.2500000020954758</v>
      </c>
    </row>
    <row r="67" spans="1:9" x14ac:dyDescent="0.35">
      <c r="A67" s="1">
        <v>42440.532314814816</v>
      </c>
      <c r="B67" s="1">
        <v>42440.54</v>
      </c>
      <c r="C67" s="1">
        <v>42440.541481481479</v>
      </c>
      <c r="D67" t="s">
        <v>110</v>
      </c>
      <c r="G67">
        <f t="shared" si="3"/>
        <v>1.8000000016763806</v>
      </c>
      <c r="H67">
        <f t="shared" si="4"/>
        <v>11.066666665719822</v>
      </c>
      <c r="I67">
        <f t="shared" si="5"/>
        <v>2.1333333291113377</v>
      </c>
    </row>
    <row r="68" spans="1:9" x14ac:dyDescent="0.35">
      <c r="A68" s="1">
        <v>42440.533275462964</v>
      </c>
      <c r="B68" s="1">
        <v>42440.541481481479</v>
      </c>
      <c r="C68" s="1">
        <v>42440.542719907404</v>
      </c>
      <c r="D68" t="s">
        <v>112</v>
      </c>
      <c r="G68">
        <f t="shared" si="3"/>
        <v>1.3833333319053054</v>
      </c>
      <c r="H68">
        <f t="shared" si="4"/>
        <v>11.816666662925854</v>
      </c>
      <c r="I68">
        <f t="shared" si="5"/>
        <v>1.7833333311136812</v>
      </c>
    </row>
    <row r="69" spans="1:9" x14ac:dyDescent="0.35">
      <c r="A69" s="1">
        <v>42440.533460648148</v>
      </c>
      <c r="B69" s="1">
        <v>42440.542719907404</v>
      </c>
      <c r="C69" s="1">
        <v>42440.543321759258</v>
      </c>
      <c r="D69" t="s">
        <v>113</v>
      </c>
      <c r="G69">
        <f t="shared" si="3"/>
        <v>0.26666666613891721</v>
      </c>
      <c r="H69">
        <f t="shared" si="4"/>
        <v>13.333333327900618</v>
      </c>
      <c r="I69">
        <f t="shared" si="5"/>
        <v>0.86666667019017041</v>
      </c>
    </row>
    <row r="70" spans="1:9" x14ac:dyDescent="0.35">
      <c r="A70" s="1">
        <v>42440.534699074073</v>
      </c>
      <c r="B70" s="1">
        <v>42440.543321759258</v>
      </c>
      <c r="C70" s="1">
        <v>42440.543541666666</v>
      </c>
      <c r="D70" t="s">
        <v>115</v>
      </c>
      <c r="G70">
        <f t="shared" si="3"/>
        <v>1.7833333311136812</v>
      </c>
      <c r="H70">
        <f t="shared" si="4"/>
        <v>12.416666666977108</v>
      </c>
      <c r="I70">
        <f t="shared" si="5"/>
        <v>0.31666666734963655</v>
      </c>
    </row>
    <row r="71" spans="1:9" x14ac:dyDescent="0.35">
      <c r="A71" s="1">
        <v>42440.535034722219</v>
      </c>
      <c r="B71" s="1">
        <v>42440.543541666666</v>
      </c>
      <c r="C71" s="1">
        <v>42440.543981481482</v>
      </c>
      <c r="D71" t="s">
        <v>118</v>
      </c>
      <c r="G71">
        <f t="shared" si="3"/>
        <v>0.48333333106711507</v>
      </c>
      <c r="H71">
        <f t="shared" si="4"/>
        <v>12.250000003259629</v>
      </c>
      <c r="I71">
        <f t="shared" si="5"/>
        <v>0.63333333469927311</v>
      </c>
    </row>
    <row r="72" spans="1:9" x14ac:dyDescent="0.35">
      <c r="A72" s="1">
        <v>42440.535891203705</v>
      </c>
      <c r="B72" s="1">
        <v>42440.543981481482</v>
      </c>
      <c r="C72" s="1">
        <v>42440.544895833336</v>
      </c>
      <c r="D72" t="s">
        <v>116</v>
      </c>
      <c r="G72">
        <f t="shared" ref="G72:G81" si="6">24*60*(A72-A71)</f>
        <v>1.2333333387505263</v>
      </c>
      <c r="H72">
        <f t="shared" ref="H72:H81" si="7">24*60*(B72-A72)</f>
        <v>11.649999999208376</v>
      </c>
      <c r="I72">
        <f t="shared" ref="I72:I81" si="8">24*60*(C72-B72)</f>
        <v>1.3166666706092656</v>
      </c>
    </row>
    <row r="73" spans="1:9" x14ac:dyDescent="0.35">
      <c r="A73" s="1">
        <v>42440.536354166667</v>
      </c>
      <c r="B73" s="1">
        <v>42440.544895833336</v>
      </c>
      <c r="C73" s="1">
        <v>42440.546458333331</v>
      </c>
      <c r="D73" t="s">
        <v>117</v>
      </c>
      <c r="G73">
        <f t="shared" si="6"/>
        <v>0.66666666534729302</v>
      </c>
      <c r="H73">
        <f t="shared" si="7"/>
        <v>12.300000004470348</v>
      </c>
      <c r="I73">
        <f t="shared" si="8"/>
        <v>2.2499999916180968</v>
      </c>
    </row>
    <row r="74" spans="1:9" x14ac:dyDescent="0.35">
      <c r="A74" s="1">
        <v>42440.537083333336</v>
      </c>
      <c r="B74" s="1">
        <v>42440.546458333331</v>
      </c>
      <c r="C74" s="1">
        <v>42440.548159722224</v>
      </c>
      <c r="D74" t="s">
        <v>126</v>
      </c>
      <c r="G74">
        <f t="shared" si="6"/>
        <v>1.0500000044703484</v>
      </c>
      <c r="H74">
        <f t="shared" si="7"/>
        <v>13.499999991618097</v>
      </c>
      <c r="I74">
        <f t="shared" si="8"/>
        <v>2.4500000069383532</v>
      </c>
    </row>
    <row r="75" spans="1:9" x14ac:dyDescent="0.35">
      <c r="A75" s="1">
        <v>42440.538495370369</v>
      </c>
      <c r="B75" s="1">
        <v>42440.548159722224</v>
      </c>
      <c r="C75" s="1">
        <v>42440.549201388887</v>
      </c>
      <c r="D75" t="s">
        <v>119</v>
      </c>
      <c r="G75">
        <f t="shared" si="6"/>
        <v>2.033333326689899</v>
      </c>
      <c r="H75">
        <f t="shared" si="7"/>
        <v>13.916666671866551</v>
      </c>
      <c r="I75">
        <f t="shared" si="8"/>
        <v>1.4999999944120646</v>
      </c>
    </row>
    <row r="76" spans="1:9" x14ac:dyDescent="0.35">
      <c r="A76" s="1">
        <v>42440.541388888887</v>
      </c>
      <c r="B76" s="1">
        <v>42440.549201388887</v>
      </c>
      <c r="C76" s="1">
        <v>42440.550023148149</v>
      </c>
      <c r="D76" t="s">
        <v>120</v>
      </c>
      <c r="G76">
        <f t="shared" si="6"/>
        <v>4.1666666662786156</v>
      </c>
      <c r="H76">
        <f t="shared" si="7"/>
        <v>11.25</v>
      </c>
      <c r="I76">
        <f t="shared" si="8"/>
        <v>1.183333337539807</v>
      </c>
    </row>
    <row r="77" spans="1:9" x14ac:dyDescent="0.35">
      <c r="A77" s="1">
        <v>42440.541620370372</v>
      </c>
      <c r="B77" s="1">
        <v>42440.550023148149</v>
      </c>
      <c r="C77" s="1">
        <v>42440.551666666666</v>
      </c>
      <c r="D77" t="s">
        <v>121</v>
      </c>
      <c r="G77">
        <f t="shared" si="6"/>
        <v>0.33333333791233599</v>
      </c>
      <c r="H77">
        <f t="shared" si="7"/>
        <v>12.099999999627471</v>
      </c>
      <c r="I77">
        <f t="shared" si="8"/>
        <v>2.366666664602235</v>
      </c>
    </row>
    <row r="78" spans="1:9" x14ac:dyDescent="0.35">
      <c r="A78" s="1">
        <v>42440.542233796295</v>
      </c>
      <c r="B78" s="1">
        <v>42440.551666666666</v>
      </c>
      <c r="C78" s="1">
        <v>42440.551921296297</v>
      </c>
      <c r="D78" t="s">
        <v>122</v>
      </c>
      <c r="G78">
        <f t="shared" si="6"/>
        <v>0.88333333027549088</v>
      </c>
      <c r="H78">
        <f t="shared" si="7"/>
        <v>13.583333333954215</v>
      </c>
      <c r="I78">
        <f t="shared" si="8"/>
        <v>0.3666666685603559</v>
      </c>
    </row>
    <row r="79" spans="1:9" x14ac:dyDescent="0.35">
      <c r="A79" s="1">
        <v>42440.54378472222</v>
      </c>
      <c r="B79" s="1">
        <v>42440.551921296297</v>
      </c>
      <c r="C79" s="1">
        <v>42440.553865740738</v>
      </c>
      <c r="D79" t="s">
        <v>123</v>
      </c>
      <c r="G79">
        <f t="shared" si="6"/>
        <v>2.2333333315327764</v>
      </c>
      <c r="H79">
        <f t="shared" si="7"/>
        <v>11.716666670981795</v>
      </c>
      <c r="I79">
        <f t="shared" si="8"/>
        <v>2.7999999944586307</v>
      </c>
    </row>
    <row r="80" spans="1:9" x14ac:dyDescent="0.35">
      <c r="A80" s="1">
        <v>42440.544178240743</v>
      </c>
      <c r="B80" s="1">
        <v>42440.553865740738</v>
      </c>
      <c r="C80" s="1">
        <v>42440.554826388892</v>
      </c>
      <c r="D80" t="s">
        <v>124</v>
      </c>
      <c r="G80">
        <f t="shared" si="6"/>
        <v>0.56666667340323329</v>
      </c>
      <c r="H80">
        <f t="shared" si="7"/>
        <v>13.949999992037192</v>
      </c>
      <c r="I80">
        <f t="shared" si="8"/>
        <v>1.3833333423826844</v>
      </c>
    </row>
    <row r="81" spans="1:9" x14ac:dyDescent="0.35">
      <c r="A81" s="1">
        <v>42440.544791666667</v>
      </c>
      <c r="B81" s="1">
        <v>42440.554826388892</v>
      </c>
      <c r="C81" s="1">
        <v>42440.556250000001</v>
      </c>
      <c r="D81" t="s">
        <v>125</v>
      </c>
      <c r="G81">
        <f t="shared" si="6"/>
        <v>0.88333333027549088</v>
      </c>
      <c r="H81">
        <f t="shared" si="7"/>
        <v>14.450000004144385</v>
      </c>
      <c r="I81">
        <f t="shared" si="8"/>
        <v>2.0499999972525984</v>
      </c>
    </row>
    <row r="82" spans="1:9" x14ac:dyDescent="0.35">
      <c r="A82" s="1">
        <v>42440.54650462963</v>
      </c>
      <c r="B82" s="1">
        <v>42440.556250000001</v>
      </c>
      <c r="C82" s="1">
        <v>42440.556666666664</v>
      </c>
      <c r="D82" t="s">
        <v>127</v>
      </c>
      <c r="G82">
        <f t="shared" ref="G82:G118" si="9">24*60*(A82-A81)</f>
        <v>2.4666666670236737</v>
      </c>
      <c r="H82">
        <f t="shared" ref="H82:H118" si="10">24*60*(B82-A82)</f>
        <v>14.03333333437331</v>
      </c>
      <c r="I82">
        <f t="shared" ref="I82:I118" si="11">24*60*(C82-B82)</f>
        <v>0.59999999357387424</v>
      </c>
    </row>
    <row r="83" spans="1:9" x14ac:dyDescent="0.35">
      <c r="A83" s="1">
        <v>42440.546678240738</v>
      </c>
      <c r="B83" s="1">
        <v>42440.556666666664</v>
      </c>
      <c r="C83" s="1">
        <v>42440.557129629633</v>
      </c>
      <c r="D83" t="s">
        <v>128</v>
      </c>
      <c r="G83">
        <f t="shared" si="9"/>
        <v>0.24999999557621777</v>
      </c>
      <c r="H83">
        <f t="shared" si="10"/>
        <v>14.383333332370967</v>
      </c>
      <c r="I83">
        <f t="shared" si="11"/>
        <v>0.66666667582467198</v>
      </c>
    </row>
    <row r="84" spans="1:9" x14ac:dyDescent="0.35">
      <c r="A84" s="1">
        <v>42440.549293981479</v>
      </c>
      <c r="B84" s="1">
        <v>42440.557129629633</v>
      </c>
      <c r="C84" s="1">
        <v>42440.557569444441</v>
      </c>
      <c r="D84" t="s">
        <v>129</v>
      </c>
      <c r="G84">
        <f t="shared" si="9"/>
        <v>3.7666666670702398</v>
      </c>
      <c r="H84">
        <f t="shared" si="10"/>
        <v>11.283333341125399</v>
      </c>
      <c r="I84">
        <f t="shared" si="11"/>
        <v>0.63333332422189415</v>
      </c>
    </row>
    <row r="85" spans="1:9" x14ac:dyDescent="0.35">
      <c r="A85" s="1">
        <v>42440.549664351849</v>
      </c>
      <c r="B85" s="1">
        <v>42440.557569444441</v>
      </c>
      <c r="C85" s="1">
        <v>42440.557974537034</v>
      </c>
      <c r="D85" t="s">
        <v>130</v>
      </c>
      <c r="G85">
        <f t="shared" si="9"/>
        <v>0.53333333227783442</v>
      </c>
      <c r="H85">
        <f t="shared" si="10"/>
        <v>11.383333333069459</v>
      </c>
      <c r="I85">
        <f t="shared" si="11"/>
        <v>0.58333333348855376</v>
      </c>
    </row>
    <row r="86" spans="1:9" x14ac:dyDescent="0.35">
      <c r="A86" s="1">
        <v>42440.550787037035</v>
      </c>
      <c r="B86" s="1">
        <v>42440.557974537034</v>
      </c>
      <c r="C86" s="1">
        <v>42440.559305555558</v>
      </c>
      <c r="D86" t="s">
        <v>135</v>
      </c>
      <c r="G86">
        <f t="shared" si="9"/>
        <v>1.6166666673962027</v>
      </c>
      <c r="H86">
        <f t="shared" si="10"/>
        <v>10.34999999916181</v>
      </c>
      <c r="I86">
        <f t="shared" si="11"/>
        <v>1.9166666746605188</v>
      </c>
    </row>
    <row r="87" spans="1:9" x14ac:dyDescent="0.35">
      <c r="A87" s="1">
        <v>42440.552175925928</v>
      </c>
      <c r="B87" s="1">
        <v>42440.559305555558</v>
      </c>
      <c r="C87" s="1">
        <v>42440.560173611113</v>
      </c>
      <c r="D87" t="s">
        <v>131</v>
      </c>
      <c r="G87">
        <f t="shared" si="9"/>
        <v>2.000000006519258</v>
      </c>
      <c r="H87">
        <f t="shared" si="10"/>
        <v>10.26666666730307</v>
      </c>
      <c r="I87">
        <f t="shared" si="11"/>
        <v>1.2499999988358468</v>
      </c>
    </row>
    <row r="88" spans="1:9" x14ac:dyDescent="0.35">
      <c r="A88" s="1">
        <v>42440.553194444445</v>
      </c>
      <c r="B88" s="1">
        <v>42440.560173611113</v>
      </c>
      <c r="C88" s="1">
        <v>42440.560393518521</v>
      </c>
      <c r="D88" t="s">
        <v>136</v>
      </c>
      <c r="G88">
        <f t="shared" si="9"/>
        <v>1.4666666637640446</v>
      </c>
      <c r="H88">
        <f t="shared" si="10"/>
        <v>10.050000002374873</v>
      </c>
      <c r="I88">
        <f t="shared" si="11"/>
        <v>0.31666666734963655</v>
      </c>
    </row>
    <row r="89" spans="1:9" x14ac:dyDescent="0.35">
      <c r="A89" s="1">
        <v>42440.55332175926</v>
      </c>
      <c r="B89" s="1">
        <v>42440.560393518521</v>
      </c>
      <c r="C89" s="1">
        <v>42440.561516203707</v>
      </c>
      <c r="D89" t="s">
        <v>139</v>
      </c>
      <c r="G89">
        <f t="shared" si="9"/>
        <v>0.18333333428017795</v>
      </c>
      <c r="H89">
        <f t="shared" si="10"/>
        <v>10.183333335444331</v>
      </c>
      <c r="I89">
        <f t="shared" si="11"/>
        <v>1.6166666673962027</v>
      </c>
    </row>
    <row r="90" spans="1:9" x14ac:dyDescent="0.35">
      <c r="A90" s="1">
        <v>42440.553553240738</v>
      </c>
      <c r="B90" s="1">
        <v>42440.561516203707</v>
      </c>
      <c r="C90" s="1">
        <v>42440.562708333331</v>
      </c>
      <c r="D90" t="s">
        <v>132</v>
      </c>
      <c r="G90">
        <f t="shared" si="9"/>
        <v>0.33333332743495703</v>
      </c>
      <c r="H90">
        <f t="shared" si="10"/>
        <v>11.466666675405577</v>
      </c>
      <c r="I90">
        <f t="shared" si="11"/>
        <v>1.7166666593402624</v>
      </c>
    </row>
    <row r="91" spans="1:9" x14ac:dyDescent="0.35">
      <c r="A91" s="1">
        <v>42440.554618055554</v>
      </c>
      <c r="B91" s="1">
        <v>42440.562708333331</v>
      </c>
      <c r="C91" s="1">
        <v>42440.563043981485</v>
      </c>
      <c r="D91" t="s">
        <v>143</v>
      </c>
      <c r="G91">
        <f t="shared" si="9"/>
        <v>1.5333333355374634</v>
      </c>
      <c r="H91">
        <f t="shared" si="10"/>
        <v>11.649999999208376</v>
      </c>
      <c r="I91">
        <f t="shared" si="11"/>
        <v>0.48333334154449403</v>
      </c>
    </row>
    <row r="92" spans="1:9" x14ac:dyDescent="0.35">
      <c r="A92" s="1">
        <v>42440.555300925924</v>
      </c>
      <c r="B92" s="1">
        <v>42440.563043981485</v>
      </c>
      <c r="C92" s="1">
        <v>42440.564768518518</v>
      </c>
      <c r="D92" t="s">
        <v>133</v>
      </c>
      <c r="G92">
        <f t="shared" si="9"/>
        <v>0.98333333269692957</v>
      </c>
      <c r="H92">
        <f t="shared" si="10"/>
        <v>11.15000000805594</v>
      </c>
      <c r="I92">
        <f t="shared" si="11"/>
        <v>2.4833333271089941</v>
      </c>
    </row>
    <row r="93" spans="1:9" x14ac:dyDescent="0.35">
      <c r="A93" s="1">
        <v>42440.555405092593</v>
      </c>
      <c r="B93" s="1">
        <v>42440.564768518518</v>
      </c>
      <c r="C93" s="1">
        <v>42440.565775462965</v>
      </c>
      <c r="D93" t="s">
        <v>134</v>
      </c>
      <c r="G93">
        <f t="shared" si="9"/>
        <v>0.15000000363215804</v>
      </c>
      <c r="H93">
        <f t="shared" si="10"/>
        <v>13.483333331532776</v>
      </c>
      <c r="I93">
        <f t="shared" si="11"/>
        <v>1.4500000036787242</v>
      </c>
    </row>
    <row r="94" spans="1:9" x14ac:dyDescent="0.35">
      <c r="A94" s="1">
        <v>42440.55908564815</v>
      </c>
      <c r="B94" s="1">
        <v>42440.565775462965</v>
      </c>
      <c r="C94" s="1">
        <v>42440.567361111112</v>
      </c>
      <c r="D94" t="s">
        <v>137</v>
      </c>
      <c r="G94">
        <f t="shared" si="9"/>
        <v>5.3000000026077032</v>
      </c>
      <c r="H94">
        <f t="shared" si="10"/>
        <v>9.6333333326037973</v>
      </c>
      <c r="I94">
        <f t="shared" si="11"/>
        <v>2.2833333327434957</v>
      </c>
    </row>
    <row r="95" spans="1:9" x14ac:dyDescent="0.35">
      <c r="A95" s="1">
        <v>42440.560208333336</v>
      </c>
      <c r="B95" s="1">
        <v>42440.567361111112</v>
      </c>
      <c r="C95" s="1">
        <v>42440.568101851852</v>
      </c>
      <c r="D95" t="s">
        <v>138</v>
      </c>
      <c r="G95">
        <f t="shared" si="9"/>
        <v>1.6166666673962027</v>
      </c>
      <c r="H95">
        <f t="shared" si="10"/>
        <v>10.29999999795109</v>
      </c>
      <c r="I95">
        <f t="shared" si="11"/>
        <v>1.0666666645556688</v>
      </c>
    </row>
    <row r="96" spans="1:9" x14ac:dyDescent="0.35">
      <c r="A96" s="1">
        <v>42440.561192129629</v>
      </c>
      <c r="B96" s="1">
        <v>42440.568101851852</v>
      </c>
      <c r="C96" s="1">
        <v>42440.568912037037</v>
      </c>
      <c r="D96" t="s">
        <v>140</v>
      </c>
      <c r="G96">
        <f t="shared" si="9"/>
        <v>1.4166666625533253</v>
      </c>
      <c r="H96">
        <f t="shared" si="10"/>
        <v>9.9499999999534339</v>
      </c>
      <c r="I96">
        <f t="shared" si="11"/>
        <v>1.1666666669771075</v>
      </c>
    </row>
    <row r="97" spans="1:9" x14ac:dyDescent="0.35">
      <c r="A97" s="1">
        <v>42440.561319444445</v>
      </c>
      <c r="B97" s="1">
        <v>42440.568912037037</v>
      </c>
      <c r="C97" s="1">
        <v>42440.570520833331</v>
      </c>
      <c r="D97" t="s">
        <v>141</v>
      </c>
      <c r="G97">
        <f t="shared" si="9"/>
        <v>0.18333333428017795</v>
      </c>
      <c r="H97">
        <f t="shared" si="10"/>
        <v>10.933333332650363</v>
      </c>
      <c r="I97">
        <f t="shared" si="11"/>
        <v>2.3166666633915156</v>
      </c>
    </row>
    <row r="98" spans="1:9" x14ac:dyDescent="0.35">
      <c r="A98" s="1">
        <v>42440.561805555553</v>
      </c>
      <c r="B98" s="1">
        <v>42440.570520833331</v>
      </c>
      <c r="C98" s="1">
        <v>42440.570868055554</v>
      </c>
      <c r="D98" t="s">
        <v>142</v>
      </c>
      <c r="G98">
        <f t="shared" si="9"/>
        <v>0.69999999599531293</v>
      </c>
      <c r="H98">
        <f t="shared" si="10"/>
        <v>12.550000000046566</v>
      </c>
      <c r="I98">
        <f t="shared" si="11"/>
        <v>0.50000000162981451</v>
      </c>
    </row>
    <row r="99" spans="1:9" x14ac:dyDescent="0.35">
      <c r="A99" s="1">
        <v>42440.562974537039</v>
      </c>
      <c r="B99" s="1">
        <v>42440.570868055554</v>
      </c>
      <c r="C99" s="1">
        <v>42440.571400462963</v>
      </c>
      <c r="D99" t="s">
        <v>144</v>
      </c>
      <c r="G99">
        <f t="shared" si="9"/>
        <v>1.6833333391696215</v>
      </c>
      <c r="H99">
        <f t="shared" si="10"/>
        <v>11.366666662506759</v>
      </c>
      <c r="I99">
        <f t="shared" si="11"/>
        <v>0.76666666776873171</v>
      </c>
    </row>
    <row r="100" spans="1:9" x14ac:dyDescent="0.35">
      <c r="A100" s="1">
        <v>42440.563275462962</v>
      </c>
      <c r="B100" s="1">
        <v>42440.571400462963</v>
      </c>
      <c r="C100" s="1">
        <v>42440.571400462963</v>
      </c>
      <c r="D100" t="s">
        <v>145</v>
      </c>
      <c r="G100">
        <f t="shared" si="9"/>
        <v>0.43333332985639572</v>
      </c>
      <c r="H100">
        <f t="shared" si="10"/>
        <v>11.700000000419095</v>
      </c>
      <c r="I100">
        <f t="shared" si="11"/>
        <v>0</v>
      </c>
    </row>
    <row r="101" spans="1:9" x14ac:dyDescent="0.35">
      <c r="A101" s="1">
        <v>42440.56391203704</v>
      </c>
      <c r="B101" s="1">
        <v>42440.571400462963</v>
      </c>
      <c r="C101" s="1">
        <v>42440.573101851849</v>
      </c>
      <c r="D101" t="s">
        <v>147</v>
      </c>
      <c r="G101">
        <f t="shared" si="9"/>
        <v>0.91666667140088975</v>
      </c>
      <c r="H101">
        <f t="shared" si="10"/>
        <v>10.783333329018205</v>
      </c>
      <c r="I101">
        <f t="shared" si="11"/>
        <v>2.4499999964609742</v>
      </c>
    </row>
    <row r="102" spans="1:9" x14ac:dyDescent="0.35">
      <c r="A102" s="1">
        <v>42440.565972222219</v>
      </c>
      <c r="B102" s="1">
        <v>42440.573101851849</v>
      </c>
      <c r="C102" s="1">
        <v>42440.573460648149</v>
      </c>
      <c r="D102" t="s">
        <v>146</v>
      </c>
      <c r="G102">
        <f t="shared" si="9"/>
        <v>2.9666666581761092</v>
      </c>
      <c r="H102">
        <f t="shared" si="10"/>
        <v>10.26666666730307</v>
      </c>
      <c r="I102">
        <f t="shared" si="11"/>
        <v>0.51666667219251394</v>
      </c>
    </row>
    <row r="103" spans="1:9" x14ac:dyDescent="0.35">
      <c r="A103" s="1">
        <v>42440.567071759258</v>
      </c>
      <c r="B103" s="1">
        <v>42440.573460648149</v>
      </c>
      <c r="C103" s="1">
        <v>42440.574189814812</v>
      </c>
      <c r="D103" t="s">
        <v>148</v>
      </c>
      <c r="G103">
        <f t="shared" si="9"/>
        <v>1.5833333367481828</v>
      </c>
      <c r="H103">
        <f t="shared" si="10"/>
        <v>9.2000000027474016</v>
      </c>
      <c r="I103">
        <f t="shared" si="11"/>
        <v>1.0499999939929694</v>
      </c>
    </row>
    <row r="104" spans="1:9" x14ac:dyDescent="0.35">
      <c r="A104" s="1">
        <v>42440.567245370374</v>
      </c>
      <c r="B104" s="1">
        <v>42440.574189814812</v>
      </c>
      <c r="C104" s="1">
        <v>42440.574560185189</v>
      </c>
      <c r="D104" t="s">
        <v>149</v>
      </c>
      <c r="G104">
        <f t="shared" si="9"/>
        <v>0.25000000605359674</v>
      </c>
      <c r="H104">
        <f t="shared" si="10"/>
        <v>9.9999999906867743</v>
      </c>
      <c r="I104">
        <f t="shared" si="11"/>
        <v>0.53333334275521338</v>
      </c>
    </row>
    <row r="105" spans="1:9" x14ac:dyDescent="0.35">
      <c r="A105" s="1">
        <v>42440.56826388889</v>
      </c>
      <c r="B105" s="1">
        <v>42440.574560185189</v>
      </c>
      <c r="C105" s="1">
        <v>42440.577025462961</v>
      </c>
      <c r="D105" t="s">
        <v>150</v>
      </c>
      <c r="G105">
        <f t="shared" si="9"/>
        <v>1.4666666637640446</v>
      </c>
      <c r="H105">
        <f t="shared" si="10"/>
        <v>9.066666669677943</v>
      </c>
      <c r="I105">
        <f t="shared" si="11"/>
        <v>3.549999991664663</v>
      </c>
    </row>
    <row r="106" spans="1:9" x14ac:dyDescent="0.35">
      <c r="A106" s="1">
        <v>42440.568726851852</v>
      </c>
      <c r="B106" s="1">
        <v>42440.577025462961</v>
      </c>
      <c r="C106" s="1">
        <v>42440.577557870369</v>
      </c>
      <c r="D106" t="s">
        <v>151</v>
      </c>
      <c r="G106">
        <f t="shared" si="9"/>
        <v>0.66666666534729302</v>
      </c>
      <c r="H106">
        <f t="shared" si="10"/>
        <v>11.949999995995313</v>
      </c>
      <c r="I106">
        <f t="shared" si="11"/>
        <v>0.76666666776873171</v>
      </c>
    </row>
    <row r="107" spans="1:9" x14ac:dyDescent="0.35">
      <c r="A107" s="1">
        <v>42440.5703587963</v>
      </c>
      <c r="B107" s="1">
        <v>42440.577557870369</v>
      </c>
      <c r="C107" s="1">
        <v>42440.578877314816</v>
      </c>
      <c r="D107" t="s">
        <v>152</v>
      </c>
      <c r="G107">
        <f t="shared" si="9"/>
        <v>2.3500000045169145</v>
      </c>
      <c r="H107">
        <f t="shared" si="10"/>
        <v>10.36666665924713</v>
      </c>
      <c r="I107">
        <f t="shared" si="11"/>
        <v>1.9000000040978193</v>
      </c>
    </row>
    <row r="108" spans="1:9" x14ac:dyDescent="0.35">
      <c r="A108" s="1">
        <v>42440.573009259257</v>
      </c>
      <c r="B108" s="1">
        <v>42440.578877314816</v>
      </c>
      <c r="C108" s="1">
        <v>42440.579386574071</v>
      </c>
      <c r="D108" t="s">
        <v>154</v>
      </c>
      <c r="G108">
        <f t="shared" si="9"/>
        <v>3.8166666578035802</v>
      </c>
      <c r="H108">
        <f t="shared" si="10"/>
        <v>8.4500000055413693</v>
      </c>
      <c r="I108">
        <f t="shared" si="11"/>
        <v>0.73333332664333284</v>
      </c>
    </row>
    <row r="109" spans="1:9" x14ac:dyDescent="0.35">
      <c r="A109" s="1">
        <v>42440.573263888888</v>
      </c>
      <c r="B109" s="1">
        <v>42440.579386574071</v>
      </c>
      <c r="C109" s="1">
        <v>42440.579953703702</v>
      </c>
      <c r="D109" t="s">
        <v>153</v>
      </c>
      <c r="G109">
        <f t="shared" si="9"/>
        <v>0.3666666685603559</v>
      </c>
      <c r="H109">
        <f t="shared" si="10"/>
        <v>8.8166666636243463</v>
      </c>
      <c r="I109">
        <f t="shared" si="11"/>
        <v>0.81666666897945106</v>
      </c>
    </row>
    <row r="110" spans="1:9" x14ac:dyDescent="0.35">
      <c r="A110" s="1">
        <v>42440.573981481481</v>
      </c>
      <c r="B110" s="1">
        <v>42440.579953703702</v>
      </c>
      <c r="C110" s="1">
        <v>42440.580347222225</v>
      </c>
      <c r="D110" t="s">
        <v>155</v>
      </c>
      <c r="G110">
        <f t="shared" si="9"/>
        <v>1.0333333339076489</v>
      </c>
      <c r="H110">
        <f t="shared" si="10"/>
        <v>8.5999999986961484</v>
      </c>
      <c r="I110">
        <f t="shared" si="11"/>
        <v>0.56666667340323329</v>
      </c>
    </row>
    <row r="111" spans="1:9" x14ac:dyDescent="0.35">
      <c r="A111" s="1">
        <v>42440.57471064815</v>
      </c>
      <c r="B111" s="1">
        <v>42440.580347222225</v>
      </c>
      <c r="C111" s="1">
        <v>42440.581817129627</v>
      </c>
      <c r="D111" t="s">
        <v>156</v>
      </c>
      <c r="G111">
        <f t="shared" si="9"/>
        <v>1.0500000044703484</v>
      </c>
      <c r="H111">
        <f t="shared" si="10"/>
        <v>8.1166666676290333</v>
      </c>
      <c r="I111">
        <f t="shared" si="11"/>
        <v>2.1166666585486382</v>
      </c>
    </row>
    <row r="112" spans="1:9" x14ac:dyDescent="0.35">
      <c r="A112" s="1">
        <v>42440.576562499999</v>
      </c>
      <c r="B112" s="1">
        <v>42440.581817129627</v>
      </c>
      <c r="C112" s="1">
        <v>42440.582152777781</v>
      </c>
      <c r="D112" t="s">
        <v>157</v>
      </c>
      <c r="G112">
        <f t="shared" si="9"/>
        <v>2.6666666613891721</v>
      </c>
      <c r="H112">
        <f t="shared" si="10"/>
        <v>7.5666666647884995</v>
      </c>
      <c r="I112">
        <f t="shared" si="11"/>
        <v>0.48333334154449403</v>
      </c>
    </row>
    <row r="113" spans="1:9" x14ac:dyDescent="0.35">
      <c r="A113" s="1">
        <v>42440.577638888892</v>
      </c>
      <c r="B113" s="1">
        <v>42440.582152777781</v>
      </c>
      <c r="C113" s="1">
        <v>42440.583506944444</v>
      </c>
      <c r="D113" t="s">
        <v>158</v>
      </c>
      <c r="G113">
        <f t="shared" si="9"/>
        <v>1.5500000061001629</v>
      </c>
      <c r="H113">
        <f t="shared" si="10"/>
        <v>6.5000000002328306</v>
      </c>
      <c r="I113">
        <f t="shared" si="11"/>
        <v>1.9499999948311597</v>
      </c>
    </row>
    <row r="114" spans="1:9" x14ac:dyDescent="0.35">
      <c r="A114" s="1">
        <v>42440.577650462961</v>
      </c>
      <c r="B114" s="1">
        <v>42440.583506944444</v>
      </c>
      <c r="C114" s="1">
        <v>42440.586643518516</v>
      </c>
      <c r="D114" t="s">
        <v>163</v>
      </c>
      <c r="G114">
        <f t="shared" si="9"/>
        <v>1.6666660085320473E-2</v>
      </c>
      <c r="H114">
        <f t="shared" si="10"/>
        <v>8.4333333349786699</v>
      </c>
      <c r="I114">
        <f t="shared" si="11"/>
        <v>4.5166666642762721</v>
      </c>
    </row>
    <row r="115" spans="1:9" x14ac:dyDescent="0.35">
      <c r="A115" s="1">
        <v>42440.580011574071</v>
      </c>
      <c r="B115" s="1">
        <v>42440.586643518516</v>
      </c>
      <c r="C115" s="1">
        <v>42440.586944444447</v>
      </c>
      <c r="D115" t="s">
        <v>162</v>
      </c>
      <c r="G115">
        <f t="shared" si="9"/>
        <v>3.3999999985098839</v>
      </c>
      <c r="H115">
        <f t="shared" si="10"/>
        <v>9.5500000007450581</v>
      </c>
      <c r="I115">
        <f t="shared" si="11"/>
        <v>0.43333334033377469</v>
      </c>
    </row>
    <row r="116" spans="1:9" x14ac:dyDescent="0.35">
      <c r="A116" s="1">
        <v>42440.580370370371</v>
      </c>
      <c r="B116" s="1">
        <v>42440.586944444447</v>
      </c>
      <c r="C116" s="1">
        <v>42440.587546296294</v>
      </c>
      <c r="D116" t="s">
        <v>159</v>
      </c>
      <c r="G116">
        <f t="shared" si="9"/>
        <v>0.51666667219251394</v>
      </c>
      <c r="H116">
        <f t="shared" si="10"/>
        <v>9.4666666688863188</v>
      </c>
      <c r="I116">
        <f t="shared" si="11"/>
        <v>0.86666665971279144</v>
      </c>
    </row>
    <row r="117" spans="1:9" x14ac:dyDescent="0.35">
      <c r="A117" s="1">
        <v>42440.580370370371</v>
      </c>
      <c r="B117" s="1">
        <v>42440.587546296294</v>
      </c>
      <c r="C117" s="1">
        <v>42440.587766203702</v>
      </c>
      <c r="D117" t="s">
        <v>160</v>
      </c>
      <c r="G117">
        <f t="shared" si="9"/>
        <v>0</v>
      </c>
      <c r="H117">
        <f t="shared" si="10"/>
        <v>10.33333332859911</v>
      </c>
      <c r="I117">
        <f t="shared" si="11"/>
        <v>0.31666666734963655</v>
      </c>
    </row>
    <row r="118" spans="1:9" x14ac:dyDescent="0.35">
      <c r="A118" s="1">
        <v>42440.581875000003</v>
      </c>
      <c r="B118" s="1">
        <v>42440.587766203702</v>
      </c>
      <c r="C118" s="1">
        <v>42440.588506944441</v>
      </c>
      <c r="D118" t="s">
        <v>161</v>
      </c>
      <c r="G118">
        <f t="shared" si="9"/>
        <v>2.1666666702367365</v>
      </c>
      <c r="H118">
        <f t="shared" si="10"/>
        <v>8.4833333257120103</v>
      </c>
      <c r="I118">
        <f t="shared" si="11"/>
        <v>1.0666666645556688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tabSelected="1" workbookViewId="0">
      <selection activeCell="E5" sqref="E5"/>
    </sheetView>
  </sheetViews>
  <sheetFormatPr defaultColWidth="8.90625" defaultRowHeight="13" x14ac:dyDescent="0.35"/>
  <cols>
    <col min="1" max="1" width="25.90625" style="7" customWidth="1"/>
    <col min="2" max="2" width="11.54296875" style="7" bestFit="1" customWidth="1"/>
    <col min="3" max="3" width="8.90625" style="7"/>
    <col min="4" max="4" width="16" style="7" bestFit="1" customWidth="1"/>
    <col min="5" max="5" width="9.08984375" style="7" bestFit="1" customWidth="1"/>
    <col min="6" max="6" width="8.90625" style="7"/>
    <col min="7" max="7" width="11.1796875" style="7" bestFit="1" customWidth="1"/>
    <col min="8" max="8" width="9.08984375" style="7" bestFit="1" customWidth="1"/>
    <col min="9" max="9" width="8.90625" style="7"/>
    <col min="10" max="10" width="11.08984375" style="7" bestFit="1" customWidth="1"/>
    <col min="11" max="11" width="9.08984375" style="7" bestFit="1" customWidth="1"/>
    <col min="12" max="16384" width="8.90625" style="7"/>
  </cols>
  <sheetData>
    <row r="1" spans="1:11" x14ac:dyDescent="0.35">
      <c r="A1" s="6" t="s">
        <v>173</v>
      </c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35">
      <c r="A2" s="6" t="s">
        <v>174</v>
      </c>
      <c r="B2" s="8">
        <v>1.3224</v>
      </c>
      <c r="C2" s="6"/>
      <c r="D2" s="6" t="s">
        <v>175</v>
      </c>
      <c r="E2" s="6"/>
      <c r="F2" s="6"/>
      <c r="G2" s="6" t="s">
        <v>176</v>
      </c>
      <c r="H2" s="6"/>
      <c r="I2" s="6"/>
      <c r="J2" s="6" t="s">
        <v>177</v>
      </c>
      <c r="K2" s="6"/>
    </row>
    <row r="3" spans="1:11" x14ac:dyDescent="0.35">
      <c r="A3" s="6" t="s">
        <v>178</v>
      </c>
      <c r="B3" s="8">
        <v>1.3775999999999999</v>
      </c>
      <c r="C3" s="6"/>
      <c r="D3" s="6" t="s">
        <v>188</v>
      </c>
      <c r="E3" s="8">
        <f>B5/(B11-B5)</f>
        <v>7.7634194831013916</v>
      </c>
      <c r="F3" s="6"/>
      <c r="G3" s="6" t="s">
        <v>179</v>
      </c>
      <c r="H3" s="8">
        <f>B13+((B13^2)*(1+B10))/(2*(1-B13))</f>
        <v>6.7360462151471063</v>
      </c>
      <c r="I3" s="6"/>
      <c r="J3" s="6" t="s">
        <v>180</v>
      </c>
      <c r="K3" s="8">
        <f>B13+((B13^2)*(B4+B10))/(2*(1-B13))</f>
        <v>6.8795881338320628</v>
      </c>
    </row>
    <row r="4" spans="1:11" x14ac:dyDescent="0.35">
      <c r="A4" s="6" t="s">
        <v>181</v>
      </c>
      <c r="B4" s="6">
        <f>B3/B2</f>
        <v>1.041742286751361</v>
      </c>
      <c r="C4" s="6"/>
      <c r="D4" s="6" t="s">
        <v>189</v>
      </c>
      <c r="E4" s="8">
        <f>1/(B11-B5)</f>
        <v>10.26634592445328</v>
      </c>
      <c r="F4" s="6"/>
      <c r="G4" s="6" t="s">
        <v>182</v>
      </c>
      <c r="H4" s="8">
        <f>H3/B5</f>
        <v>8.9077475149105325</v>
      </c>
      <c r="I4" s="6"/>
      <c r="J4" s="6" t="s">
        <v>183</v>
      </c>
      <c r="K4" s="8">
        <f>K3/B5</f>
        <v>9.0975673481795187</v>
      </c>
    </row>
    <row r="5" spans="1:11" x14ac:dyDescent="0.35">
      <c r="A5" s="6" t="s">
        <v>185</v>
      </c>
      <c r="B5" s="6">
        <f>1/B2</f>
        <v>0.7562008469449486</v>
      </c>
      <c r="C5" s="6"/>
      <c r="D5" s="6"/>
      <c r="E5" s="6"/>
      <c r="F5" s="6"/>
      <c r="G5" s="6"/>
      <c r="H5" s="6"/>
      <c r="I5" s="6"/>
      <c r="J5" s="6"/>
      <c r="K5" s="6"/>
    </row>
    <row r="6" spans="1:11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x14ac:dyDescent="0.35">
      <c r="A7" s="6" t="s">
        <v>184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x14ac:dyDescent="0.35">
      <c r="A8" s="6" t="s">
        <v>174</v>
      </c>
      <c r="B8" s="8">
        <v>1.1715</v>
      </c>
      <c r="C8" s="6"/>
      <c r="D8" s="6"/>
      <c r="E8" s="6"/>
      <c r="F8" s="6"/>
      <c r="G8" s="6"/>
      <c r="H8" s="6"/>
      <c r="I8" s="6"/>
      <c r="J8" s="6"/>
      <c r="K8" s="6"/>
    </row>
    <row r="9" spans="1:11" x14ac:dyDescent="0.35">
      <c r="A9" s="6" t="s">
        <v>178</v>
      </c>
      <c r="B9" s="8">
        <v>0.82150000000000001</v>
      </c>
      <c r="C9" s="6"/>
      <c r="D9" s="6"/>
      <c r="E9" s="6"/>
      <c r="F9" s="6"/>
      <c r="G9" s="6"/>
      <c r="H9" s="6"/>
      <c r="I9" s="6"/>
      <c r="J9" s="6"/>
      <c r="K9" s="6"/>
    </row>
    <row r="10" spans="1:11" x14ac:dyDescent="0.35">
      <c r="A10" s="6" t="s">
        <v>181</v>
      </c>
      <c r="B10" s="6">
        <f>B9/B8</f>
        <v>0.70123772940674356</v>
      </c>
      <c r="C10" s="6"/>
      <c r="D10" s="6"/>
      <c r="E10" s="6"/>
      <c r="F10" s="6"/>
      <c r="G10" s="6"/>
      <c r="H10" s="6"/>
      <c r="I10" s="6"/>
      <c r="J10" s="6"/>
      <c r="K10" s="6"/>
    </row>
    <row r="11" spans="1:11" x14ac:dyDescent="0.35">
      <c r="A11" s="6" t="s">
        <v>186</v>
      </c>
      <c r="B11" s="6">
        <f>1/B8</f>
        <v>0.85360648740930434</v>
      </c>
      <c r="C11" s="6"/>
      <c r="D11" s="6"/>
      <c r="E11" s="6"/>
      <c r="F11" s="6"/>
      <c r="G11" s="6"/>
      <c r="H11" s="6"/>
      <c r="I11" s="6"/>
      <c r="J11" s="6"/>
      <c r="K11" s="6"/>
    </row>
    <row r="12" spans="1:11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x14ac:dyDescent="0.35">
      <c r="A13" s="6" t="s">
        <v>187</v>
      </c>
      <c r="B13" s="6">
        <f>B5/B11</f>
        <v>0.88588929219600721</v>
      </c>
      <c r="C13" s="6"/>
      <c r="D13" s="6"/>
      <c r="E13" s="6"/>
      <c r="F13" s="6"/>
      <c r="G13" s="6"/>
      <c r="H13" s="6"/>
      <c r="I13" s="6"/>
      <c r="J13" s="6"/>
      <c r="K13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Scrap sheet</vt:lpstr>
      <vt:lpstr>Data sheet</vt:lpstr>
      <vt:lpstr>Cleaned data sheet</vt:lpstr>
      <vt:lpstr>Calculations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 Swee Yee</dc:creator>
  <cp:lastModifiedBy>Han Swee Yee</cp:lastModifiedBy>
  <dcterms:created xsi:type="dcterms:W3CDTF">2016-03-10T08:09:18Z</dcterms:created>
  <dcterms:modified xsi:type="dcterms:W3CDTF">2016-03-15T03:09:46Z</dcterms:modified>
</cp:coreProperties>
</file>